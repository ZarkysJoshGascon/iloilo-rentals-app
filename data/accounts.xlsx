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ers Info" sheetId="1" r:id="rId4"/>
    <sheet state="visible" name="Expiry Tracker" sheetId="2" r:id="rId5"/>
    <sheet state="visible" name="OI-Old" sheetId="3" r:id="rId6"/>
    <sheet state="visible" name="Deposit Accounts &amp; Emails" sheetId="4" r:id="rId7"/>
    <sheet state="visible" name="Rates" sheetId="5" r:id="rId8"/>
    <sheet state="visible" name="Extras" sheetId="6" r:id="rId9"/>
    <sheet state="visible" name="BD Room Aquisitions" sheetId="7" r:id="rId10"/>
  </sheets>
  <definedNames>
    <definedName hidden="1" localSheetId="0" name="_xlnm._FilterDatabase">'Owners Info'!$A$1:$T$140</definedName>
    <definedName hidden="1" localSheetId="1" name="_xlnm._FilterDatabase">'Expiry Tracker'!$A$1:$L$299</definedName>
  </definedNames>
  <calcPr/>
  <extLst>
    <ext uri="GoogleSheetsCustomDataVersion2">
      <go:sheetsCustomData xmlns:go="http://customooxmlschemas.google.com/" r:id="rId11" roundtripDataChecksum="hk4p0J+vKsqlEyynqm7J1nHWlY8n1HlsrN+HSv61RN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1">
      <text>
        <t xml:space="preserve">======
ID#AAABnMitCyE
jervie Casimiro    (2025-07-09 09:09:56)
termination of contract on Aug. 1</t>
      </text>
    </comment>
    <comment authorId="0" ref="B29">
      <text>
        <t xml:space="preserve">======
ID#AAABmaOrQfA
HuboMoto Property Management    (2025-06-26 09:28:33)
REQUEST FOR AIRCON REPLACEMENT</t>
      </text>
    </comment>
    <comment authorId="0" ref="C29">
      <text>
        <t xml:space="preserve">======
ID#AAABnKUBt8M
Vincent Gibbons    (2025-07-08 04:29:37)
unlisted from airbnb as per sir carlo</t>
      </text>
    </comment>
    <comment authorId="0" ref="K66">
      <text>
        <t xml:space="preserve">======
ID#AAABnMitCyA
jervie Casimiro    (2025-07-09 09:09:15)
tentativel termination of contract on Sept. 30</t>
      </text>
    </comment>
    <comment authorId="0" ref="L1">
      <text>
        <t xml:space="preserve">======
ID#AAABnIY2WmA
Vincent Gibbons    (2025-07-07 12:52:36)
EXPIRED entries must have contract REVIEWED/LOCATED before Emailing due to contract mismatch with old entries</t>
      </text>
    </comment>
    <comment authorId="0" ref="F56">
      <text>
        <t xml:space="preserve">======
ID#AAABnM82tkM
Vincent Gibbons    (2025-07-09 12:38:46)
unconfirmed owner</t>
      </text>
    </comment>
    <comment authorId="0" ref="B20">
      <text>
        <t xml:space="preserve">======
ID#AAABmaOrQe4
HuboMoto Property Management    (2025-06-26 09:25:08)
UNLIST TEMPORARY AIRBNB</t>
      </text>
    </comment>
    <comment authorId="0" ref="C15">
      <text>
        <t xml:space="preserve">======
ID#AAABnKUBt8I
Vincent Gibbons    (2025-07-08 04:29:07)
unlisted from Airbnb</t>
      </text>
    </comment>
    <comment authorId="0" ref="N56">
      <text>
        <t xml:space="preserve">======
ID#AAABnM82tkQ
Vincent Gibbons    (2025-07-09 12:39:03)
no co-host</t>
      </text>
    </comment>
    <comment authorId="0" ref="C12">
      <text>
        <t xml:space="preserve">======
ID#AAABnKUBt78
Vincent Gibbons    (2025-07-08 04:21:35)
Unlisted on Airbnb as per Sir Carlo
------
ID#AAABnKUBt8A
Vincent Gibbons    (2025-07-08 04:21:59)
_Marked as resolved_
------
ID#AAABnKUBt8E
Vincent Gibbons    (2025-07-08 04:22:01)
_Re-opened_</t>
      </text>
    </comment>
    <comment authorId="0" ref="B139">
      <text>
        <t xml:space="preserve">======
ID#AAABnJygLms
Vincent Gibbons    (2025-07-08 01:44:22)
no airbnb cohost</t>
      </text>
    </comment>
    <comment authorId="0" ref="B138">
      <text>
        <t xml:space="preserve">======
ID#AAABnMitCxk
Vincent Gibbons    (2025-07-09 06:58:19)
ghosted contract, needs urgent backtracking &amp; follow up</t>
      </text>
    </comment>
    <comment authorId="0" ref="N116">
      <text>
        <t xml:space="preserve">======
ID#AAABnKUBt8Y
Vincent Gibbons    (2025-07-08 04:50:36)
no cohost</t>
      </text>
    </comment>
  </commentList>
  <extLst>
    <ext uri="GoogleSheetsCustomDataVersion2">
      <go:sheetsCustomData xmlns:go="http://customooxmlschemas.google.com/" r:id="rId1" roundtripDataSignature="AMtx7mjeK9vGXAiEYO5cYPKPmC8V6eZDs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0">
      <text>
        <t xml:space="preserve">Name: Robert Stanley Po
Property: D T1 917
Expiry Date: 6/1/2025
Days Left: 25DAYS LEFT
Date Today: 5/7/25
Classification: Partnership
======</t>
      </text>
    </comment>
    <comment authorId="0" ref="K15">
      <text>
        <t xml:space="preserve">Name: Ma Precious Fe Matorres
Property: 29 SD SW 3i
Expiry Date: 6/10/2025
Days Left: 34 DAYS LEFT
Classification: Partnership
======</t>
      </text>
    </comment>
    <comment authorId="0" ref="K45">
      <text>
        <t xml:space="preserve">======
ID#AAABj4Jh6hI
HuboMoto Property Management    (2025-05-19 05:40:51)
EXTENDED TILL JUNE WILL DECIDE IF JUNE WILL RENEW
------
ID#AAABmMms7k0
Vincent Gibbons    (2025-06-19 14:27:43)
_Marked as resolved_
------
ID#AAABmMms7k4
Vincent Gibbons    (2025-06-19 14:27:49)
_Re-opened_</t>
      </text>
    </comment>
  </commentList>
  <extLst>
    <ext uri="GoogleSheetsCustomDataVersion2">
      <go:sheetsCustomData xmlns:go="http://customooxmlschemas.google.com/" r:id="rId1" roundtripDataSignature="AMtx7mjw6CS2+UXaCDTQpkWaTrGz2+ol5Q=="/>
    </ext>
  </extLst>
</comments>
</file>

<file path=xl/sharedStrings.xml><?xml version="1.0" encoding="utf-8"?>
<sst xmlns="http://schemas.openxmlformats.org/spreadsheetml/2006/main" count="3303" uniqueCount="843">
  <si>
    <t>Building</t>
  </si>
  <si>
    <t>Property</t>
  </si>
  <si>
    <t>Unit Owner</t>
  </si>
  <si>
    <t>Classification</t>
  </si>
  <si>
    <t>Effective Date</t>
  </si>
  <si>
    <t>Expiry Date</t>
  </si>
  <si>
    <t>Status</t>
  </si>
  <si>
    <t>Expiration Days</t>
  </si>
  <si>
    <t>GC Status</t>
  </si>
  <si>
    <t>Contract</t>
  </si>
  <si>
    <t>Unit Type</t>
  </si>
  <si>
    <t>Email</t>
  </si>
  <si>
    <t>Notes</t>
  </si>
  <si>
    <t>Unit Owner (WIP)</t>
  </si>
  <si>
    <t>*Cell Order*</t>
  </si>
  <si>
    <t>Email (WIP)</t>
  </si>
  <si>
    <t>Contact Number</t>
  </si>
  <si>
    <t>Bank</t>
  </si>
  <si>
    <t>Account Name</t>
  </si>
  <si>
    <t>Account Number</t>
  </si>
  <si>
    <t>Expiry Tracker</t>
  </si>
  <si>
    <t>Due Date</t>
  </si>
  <si>
    <t>Contract (WIP)</t>
  </si>
  <si>
    <t>AIRBNB</t>
  </si>
  <si>
    <t>BOOKING .COM</t>
  </si>
  <si>
    <t>AGODA</t>
  </si>
  <si>
    <t>HOSTEEVA</t>
  </si>
  <si>
    <t>YOUR RENTALS</t>
  </si>
  <si>
    <t>TRIP.COM</t>
  </si>
  <si>
    <t>INVENTORY LIST</t>
  </si>
  <si>
    <t>One Madison Place</t>
  </si>
  <si>
    <t>Union Bank of the Philippines</t>
  </si>
  <si>
    <t>One Madison Place Condominium Association</t>
  </si>
  <si>
    <t>Near Expiry Tracker</t>
  </si>
  <si>
    <t>0012-4003-6593</t>
  </si>
  <si>
    <t>onemadisonplace.ao2@fopm.com.ph</t>
  </si>
  <si>
    <t>Every 15th</t>
  </si>
  <si>
    <t>Saint Honore &amp; Saint Dominique</t>
  </si>
  <si>
    <t>TYPE OF PARTNERSHIP</t>
  </si>
  <si>
    <t>SHSD Condominium Association Inc.</t>
  </si>
  <si>
    <t>0027-7001-9813</t>
  </si>
  <si>
    <t>billing.sthonorestdominique@asia-affinity.com</t>
  </si>
  <si>
    <t>Every 20th</t>
  </si>
  <si>
    <t>The Palladium</t>
  </si>
  <si>
    <t>Avida Storeys 1</t>
  </si>
  <si>
    <t>The Palladium Condominium Association Inc.</t>
  </si>
  <si>
    <t>P S1 503</t>
  </si>
  <si>
    <t xml:space="preserve">0027-7001-7336 </t>
  </si>
  <si>
    <t>ACTIVE</t>
  </si>
  <si>
    <t>billing.palladium@asia-affinity.com</t>
  </si>
  <si>
    <t>FIXED</t>
  </si>
  <si>
    <t>2-Bedroom</t>
  </si>
  <si>
    <t>WV Towers</t>
  </si>
  <si>
    <t>Nino Donato Pison</t>
  </si>
  <si>
    <t>BDO Unibank Inc</t>
  </si>
  <si>
    <t>n_pison@yahoo.com</t>
  </si>
  <si>
    <t>Westernland Property Development Inc.</t>
  </si>
  <si>
    <t>0028-1801-3409</t>
  </si>
  <si>
    <t>Fixed</t>
  </si>
  <si>
    <t>wvtowers1.2@gmail.com</t>
  </si>
  <si>
    <t xml:space="preserve">Every 30th </t>
  </si>
  <si>
    <t>BA Technology (WiFi)</t>
  </si>
  <si>
    <t>MISSING</t>
  </si>
  <si>
    <t>Gcash</t>
  </si>
  <si>
    <t>BA Technology</t>
  </si>
  <si>
    <t>(+63) 994 205 0180</t>
  </si>
  <si>
    <t>state unit number in notes</t>
  </si>
  <si>
    <t>Saint Honore</t>
  </si>
  <si>
    <t>SMDC Style Residences</t>
  </si>
  <si>
    <t>1 SH NW 8C</t>
  </si>
  <si>
    <t>Style Residences Condominium Corporation</t>
  </si>
  <si>
    <t>0103-6801-0791</t>
  </si>
  <si>
    <t>Studio</t>
  </si>
  <si>
    <t>style.billing@greenmist.ph</t>
  </si>
  <si>
    <t>Jan Cupid Musa</t>
  </si>
  <si>
    <t>jancupidmusa@gmail.com</t>
  </si>
  <si>
    <t>One Spatial Iloilo</t>
  </si>
  <si>
    <t>Eastwest Bank</t>
  </si>
  <si>
    <t>One Spatial Iloilo Condominium Corp</t>
  </si>
  <si>
    <t>2000-3028-7807</t>
  </si>
  <si>
    <t>upload to pocket floor app</t>
  </si>
  <si>
    <t>P Fantastic 2BR Option for 8</t>
  </si>
  <si>
    <t>+1 (469) 974-5979</t>
  </si>
  <si>
    <t>Partnership</t>
  </si>
  <si>
    <t>1 SH NW 8C - MUSA.pdf</t>
  </si>
  <si>
    <t>1 Parisian Charm Hideaway</t>
  </si>
  <si>
    <t>S S1 717</t>
  </si>
  <si>
    <t>1-Bedroom</t>
  </si>
  <si>
    <t>Revrose Selyn Pison</t>
  </si>
  <si>
    <t>S Urban Dreamscape</t>
  </si>
  <si>
    <t>4 SH 5M SW</t>
  </si>
  <si>
    <t>Charizzma Go</t>
  </si>
  <si>
    <t>gochusc@gmail.com</t>
  </si>
  <si>
    <t>S1 408</t>
  </si>
  <si>
    <t>STOCKROOM</t>
  </si>
  <si>
    <t>Edgardo Pison</t>
  </si>
  <si>
    <t>4 Majestic View</t>
  </si>
  <si>
    <t>S2 S1 210</t>
  </si>
  <si>
    <t>Dondon Pison</t>
  </si>
  <si>
    <t>S2 Chic Minimalist Escape</t>
  </si>
  <si>
    <t>26 SH SW 7G</t>
  </si>
  <si>
    <t>26 SH SW 7G - JACOMILLE.pdf</t>
  </si>
  <si>
    <t>26 Affordable Luxury Studio</t>
  </si>
  <si>
    <t>H S1 506</t>
  </si>
  <si>
    <t>INACTIVE</t>
  </si>
  <si>
    <t>N/A</t>
  </si>
  <si>
    <t>Bacolod Concept Realty Corp.</t>
  </si>
  <si>
    <t>H Incomparable Value</t>
  </si>
  <si>
    <t>6 SH SW 5J</t>
  </si>
  <si>
    <t>Y S1 704</t>
  </si>
  <si>
    <t>NOT YET</t>
  </si>
  <si>
    <t>Lilanie Young</t>
  </si>
  <si>
    <t>Goldamier Ybera Chua</t>
  </si>
  <si>
    <t>goldameirchua@gycmarketingopc.com</t>
  </si>
  <si>
    <r>
      <rPr>
        <rFont val="Arial"/>
        <color theme="10"/>
        <sz val="10.0"/>
      </rPr>
      <t>l</t>
    </r>
    <r>
      <rPr>
        <rFont val="Arial"/>
        <color rgb="FF1155CC"/>
        <sz val="10.0"/>
        <u/>
      </rPr>
      <t>ilanieyoung@gmail.com</t>
    </r>
  </si>
  <si>
    <t>Y Stylish 2BR Option for up to 6</t>
  </si>
  <si>
    <t>6 SH SW 5J - YOUNG.pdf</t>
  </si>
  <si>
    <t>6 Stylish Escape for Groups</t>
  </si>
  <si>
    <t>Avida Storeys 2</t>
  </si>
  <si>
    <t>Y2 S2 203</t>
  </si>
  <si>
    <t xml:space="preserve"> MESSENGER</t>
  </si>
  <si>
    <t>Ma. Crislyne Mae Espinosa</t>
  </si>
  <si>
    <t>arlandbarvilla@gmail.com</t>
  </si>
  <si>
    <t>Y2 S2 203 - ESPINOSA.pdf</t>
  </si>
  <si>
    <t>Y2 Pool &amp; Garden Bliss</t>
  </si>
  <si>
    <t>17 SH SW 6O</t>
  </si>
  <si>
    <t>K2 S2 322</t>
  </si>
  <si>
    <t xml:space="preserve"> </t>
  </si>
  <si>
    <t>K2 Nordic Haven</t>
  </si>
  <si>
    <t>L S2 716</t>
  </si>
  <si>
    <t>Raymund Trenas</t>
  </si>
  <si>
    <t>raytrenas@gmail.com</t>
  </si>
  <si>
    <t>L Iloilo's Quirky Oasis</t>
  </si>
  <si>
    <t>15 LPS 10-O</t>
  </si>
  <si>
    <t>Michael Limsiaco</t>
  </si>
  <si>
    <t>limsiacomichael@yahoo.com</t>
  </si>
  <si>
    <t>T2 S2 703</t>
  </si>
  <si>
    <t>FOR RENEWAL</t>
  </si>
  <si>
    <t>Leo Paranpan</t>
  </si>
  <si>
    <t>lparanpan@yahoo.com</t>
  </si>
  <si>
    <t>(+63) 917 127 3533</t>
  </si>
  <si>
    <t>T2 S2 703 - PARANPAN.pdf</t>
  </si>
  <si>
    <t>15 LPS 10-O - LIMSIACO.pdf</t>
  </si>
  <si>
    <t>T2 Serene Pool View Escape</t>
  </si>
  <si>
    <t>Avida Tower 1</t>
  </si>
  <si>
    <t>D T1 917</t>
  </si>
  <si>
    <t>Robert Stanley Po</t>
  </si>
  <si>
    <t>cltpo@icloud.com</t>
  </si>
  <si>
    <t>(+63) 917 844 3012</t>
  </si>
  <si>
    <t>21 SH NW 6A</t>
  </si>
  <si>
    <t>Ernesto Tuvida</t>
  </si>
  <si>
    <t>hjameprestosa@yahoo.com</t>
  </si>
  <si>
    <t>D Peaceful and Comfortable Room</t>
  </si>
  <si>
    <t>21 SH NW 6A - TUVIDA.pdf</t>
  </si>
  <si>
    <t>C3 T1 428</t>
  </si>
  <si>
    <t>Ramona Beck</t>
  </si>
  <si>
    <t>mona_beck2001@yahoo.com</t>
  </si>
  <si>
    <t>(+63) 935 489 5373</t>
  </si>
  <si>
    <t>75/25 Partner</t>
  </si>
  <si>
    <t>C3 Elegant 2BR Condo with Pool View</t>
  </si>
  <si>
    <t>24 LPS 9PQ</t>
  </si>
  <si>
    <t>Risty Durbin</t>
  </si>
  <si>
    <t>ristyd@yahoo.com</t>
  </si>
  <si>
    <t>A3 T1 1524</t>
  </si>
  <si>
    <t>24 LPS 9PQ - DURBIN.pdf</t>
  </si>
  <si>
    <t>Elvie Dofitas</t>
  </si>
  <si>
    <t>Elvie.dofitas08@gmail.com</t>
  </si>
  <si>
    <t>(+63) 917 680 0008</t>
  </si>
  <si>
    <t>A3 T1 1524 - DOFITAS.pdf</t>
  </si>
  <si>
    <t>A3 Central Studio Getaway</t>
  </si>
  <si>
    <t>Saint Dominique</t>
  </si>
  <si>
    <t>7 SD 9G SW</t>
  </si>
  <si>
    <t>Noah Montenegro</t>
  </si>
  <si>
    <t>noahmontenegro@optimum.net</t>
  </si>
  <si>
    <t>V2 T1 306</t>
  </si>
  <si>
    <t>+1 (203) 219-1427</t>
  </si>
  <si>
    <t>7 Metro View Studio</t>
  </si>
  <si>
    <t>V2 Relaxing Studio Escape</t>
  </si>
  <si>
    <t>B AT T1 501</t>
  </si>
  <si>
    <t>VIBER</t>
  </si>
  <si>
    <t>Angelina Cordero / Sarah Angela Cordero</t>
  </si>
  <si>
    <t>docangie.thesmileologists@gmail.com</t>
  </si>
  <si>
    <t>(+63) 905 446 6439</t>
  </si>
  <si>
    <t>85/15 Partner</t>
  </si>
  <si>
    <t>23 SD SW 8C</t>
  </si>
  <si>
    <t>23 Comfy Nest for Three</t>
  </si>
  <si>
    <t>U2 T1 221</t>
  </si>
  <si>
    <t>Ira Villanueva Valenzuela</t>
  </si>
  <si>
    <t>villanueva_ira@yahoo.com</t>
  </si>
  <si>
    <t>(+63) 917 305 2499</t>
  </si>
  <si>
    <t>U2 T1 221 - VILLANUEVA.pdf</t>
  </si>
  <si>
    <t>U2 Spacious 1BR Retreat</t>
  </si>
  <si>
    <t>33 SD SW 7I</t>
  </si>
  <si>
    <t>Hyacinth Faraon</t>
  </si>
  <si>
    <t>Hyacinth.9@hotmail.com</t>
  </si>
  <si>
    <t>33 SD SW 7i</t>
  </si>
  <si>
    <t>Avida Tower 2</t>
  </si>
  <si>
    <t>T T2 815</t>
  </si>
  <si>
    <t>33 Elegant City Studio</t>
  </si>
  <si>
    <t>William Del Rosario</t>
  </si>
  <si>
    <t>bdelrosario1014@gmail.com</t>
  </si>
  <si>
    <t>T Panoramic Metro View</t>
  </si>
  <si>
    <t>E2 T2 309</t>
  </si>
  <si>
    <t>Mary Joyce Torrefranca</t>
  </si>
  <si>
    <t>cant0910@yahoo.com</t>
  </si>
  <si>
    <t>(+63) 917 319 5794</t>
  </si>
  <si>
    <t>37 SD NW 5F</t>
  </si>
  <si>
    <t>Cesar Mercado</t>
  </si>
  <si>
    <t>meres044@yahoo.com</t>
  </si>
  <si>
    <t>E2 Oasis in the City</t>
  </si>
  <si>
    <t>37 SD NW 5F - MARICAR.pdf</t>
  </si>
  <si>
    <t>37 Elegant &amp; Cozy</t>
  </si>
  <si>
    <t>R T2 1423</t>
  </si>
  <si>
    <t>Irene Lachica</t>
  </si>
  <si>
    <t>irene.lachica@yahoo.com</t>
  </si>
  <si>
    <t>(+63) 923 741 5922</t>
  </si>
  <si>
    <t>STUDIO</t>
  </si>
  <si>
    <t>R Metropolitan Mirage</t>
  </si>
  <si>
    <t>30 SD NW 8B</t>
  </si>
  <si>
    <t>Ramel Uy</t>
  </si>
  <si>
    <t>Uy_ramel@yahoo.com</t>
  </si>
  <si>
    <t>MISSING EXPIRY DATE</t>
  </si>
  <si>
    <t>I2 T2 522</t>
  </si>
  <si>
    <t>Lourdes Carney</t>
  </si>
  <si>
    <t>Lourdes.carney@gmail.com</t>
  </si>
  <si>
    <t>2 pax</t>
  </si>
  <si>
    <t>30 Luxe City Studio</t>
  </si>
  <si>
    <t>3 pax</t>
  </si>
  <si>
    <t>4 pax</t>
  </si>
  <si>
    <t>5 pax</t>
  </si>
  <si>
    <t>I2 Sleek City Haven</t>
  </si>
  <si>
    <t>Avida Towers</t>
  </si>
  <si>
    <t>-</t>
  </si>
  <si>
    <t>B2 T2 108</t>
  </si>
  <si>
    <t>Edward Espinosa</t>
  </si>
  <si>
    <t>mariespinosa3185@gmail.com</t>
  </si>
  <si>
    <t>29 SD SW 3I</t>
  </si>
  <si>
    <t>Ma Precious Fe Matorres</t>
  </si>
  <si>
    <t>preciousfematorres@gmail.com</t>
  </si>
  <si>
    <t>B2 Your Go-To Crib</t>
  </si>
  <si>
    <t>Bernwood Towers</t>
  </si>
  <si>
    <t>29 SD SW 3i - MATORRES.pdf</t>
  </si>
  <si>
    <t>F T2 1020</t>
  </si>
  <si>
    <t>People's Condo</t>
  </si>
  <si>
    <t>]</t>
  </si>
  <si>
    <t>Kathreen Socorro Piamonte</t>
  </si>
  <si>
    <t>29 SD SW 3i</t>
  </si>
  <si>
    <t>29 Chic Studio Escape</t>
  </si>
  <si>
    <t>F Best Vlaue in Iloilo</t>
  </si>
  <si>
    <t>St. Honore &amp; St. Dominique</t>
  </si>
  <si>
    <t>N T2 421</t>
  </si>
  <si>
    <t>Roberto Gelvezon</t>
  </si>
  <si>
    <t>Lafayette</t>
  </si>
  <si>
    <t>N Affordable Urban Luxury</t>
  </si>
  <si>
    <t>2 OMP T1 8D</t>
  </si>
  <si>
    <t>SMDC STYLE</t>
  </si>
  <si>
    <t>Q T2 420</t>
  </si>
  <si>
    <t>Gerard Teofilo Gelvezon</t>
  </si>
  <si>
    <t>2 Contemporary Comfort</t>
  </si>
  <si>
    <t>Q Incomparable Comfort for 3</t>
  </si>
  <si>
    <t>One Madison</t>
  </si>
  <si>
    <t>X T2 1021</t>
  </si>
  <si>
    <t>Michael Borro</t>
  </si>
  <si>
    <t>3 OMP T3 10-O</t>
  </si>
  <si>
    <t>Cynthia Mansueto</t>
  </si>
  <si>
    <t>cynthiamansueto@yahoo.com.ph</t>
  </si>
  <si>
    <t>X Metro Bliss</t>
  </si>
  <si>
    <t>1 BEDROOM</t>
  </si>
  <si>
    <t>6 pax</t>
  </si>
  <si>
    <t>H2 T2 521</t>
  </si>
  <si>
    <t>Maria Rita Jardiolin</t>
  </si>
  <si>
    <t>Ritaj241@yahoo.com</t>
  </si>
  <si>
    <t>3 Iloilo's Dream Studio</t>
  </si>
  <si>
    <t>H2 Modern City Condo</t>
  </si>
  <si>
    <t>Q2 T2 1221</t>
  </si>
  <si>
    <t>Maria Grace Puertollano</t>
  </si>
  <si>
    <t>graceuybico@gmail.com</t>
  </si>
  <si>
    <t>Q2 City View Twin Room</t>
  </si>
  <si>
    <t>12 OMP T3 9K</t>
  </si>
  <si>
    <t>Arlene Tirador</t>
  </si>
  <si>
    <t>febgirl2691@yahoo.com.ph</t>
  </si>
  <si>
    <t>12 OMP T3 9K - TAN.pdf</t>
  </si>
  <si>
    <t>A T2 322</t>
  </si>
  <si>
    <t>Aaron James Sales</t>
  </si>
  <si>
    <t>Aaronsales.j@gmail.com</t>
  </si>
  <si>
    <t>2 BEDROOMS</t>
  </si>
  <si>
    <t>12 Modern Sanctuary</t>
  </si>
  <si>
    <t>A Charming Urban Retreat</t>
  </si>
  <si>
    <t>7 pax</t>
  </si>
  <si>
    <t>8 pax</t>
  </si>
  <si>
    <t xml:space="preserve">SMDC </t>
  </si>
  <si>
    <t># T2 209</t>
  </si>
  <si>
    <t>Fredilyn Samoro/Katrina Samoro</t>
  </si>
  <si>
    <t>(+63) 0917 701 0178.    0917 893 6246</t>
  </si>
  <si>
    <t>Avida (small)</t>
  </si>
  <si>
    <t>Avida Tower 3</t>
  </si>
  <si>
    <t>D2 T3 626</t>
  </si>
  <si>
    <t>Donnave Caramat</t>
  </si>
  <si>
    <t>dgcaramat12@gmail.com</t>
  </si>
  <si>
    <t>19 OMP T1 4E</t>
  </si>
  <si>
    <t>Emmanuel Capacio</t>
  </si>
  <si>
    <t>Avida (big)</t>
  </si>
  <si>
    <t>emmanuelcapacio@gmail.com</t>
  </si>
  <si>
    <t>D2 Central Location Condo</t>
  </si>
  <si>
    <t>19 OMP T1 4E - JAVELLANA.pdf</t>
  </si>
  <si>
    <t>19 Cityscape Views</t>
  </si>
  <si>
    <t>Laffayete</t>
  </si>
  <si>
    <t>Saint H &amp; D</t>
  </si>
  <si>
    <t>I T3 725</t>
  </si>
  <si>
    <t>Mechelle Balasa Rey</t>
  </si>
  <si>
    <t>jayson12mendoza15@gmail.com</t>
  </si>
  <si>
    <t>20 OMP T1 9S</t>
  </si>
  <si>
    <t>I Best Value Studio</t>
  </si>
  <si>
    <t>20 OMP T1 9S - FARAON.pdf</t>
  </si>
  <si>
    <t>20 Pool View Studio Bliss</t>
  </si>
  <si>
    <t>B3 T3 1011</t>
  </si>
  <si>
    <t>Gutierrez Dev. Company</t>
  </si>
  <si>
    <t>gutierrezdevelopment@gmail.com</t>
  </si>
  <si>
    <t>B3 Chic Sunset Studio Escape</t>
  </si>
  <si>
    <t>27 OMP T3 5N</t>
  </si>
  <si>
    <t>W2 T3 207</t>
  </si>
  <si>
    <t>Julius Jacomille</t>
  </si>
  <si>
    <t>rentwithus.abc@gmail.com</t>
  </si>
  <si>
    <t>Pancho Bringas / Christine Magallanes</t>
  </si>
  <si>
    <t>Ceee_m@yahoo.com</t>
  </si>
  <si>
    <t>(+63) 917 303 1696</t>
  </si>
  <si>
    <t>W2 Cozy Urban Nest</t>
  </si>
  <si>
    <t>27 Chic and Spacious Studio</t>
  </si>
  <si>
    <t>X2 T3 528</t>
  </si>
  <si>
    <t>X2 Urban Zen Studio</t>
  </si>
  <si>
    <t>28 OMP T3 5M</t>
  </si>
  <si>
    <t>28 OMP T3 5M - MANSUETO.pdf</t>
  </si>
  <si>
    <t>Z2 T3 526</t>
  </si>
  <si>
    <t>Czarina Ngan</t>
  </si>
  <si>
    <t>e43eee3esdwafcfvfcffvgvgrdcrxseexttfddfddz;;p-p-p=</t>
  </si>
  <si>
    <t>(+63) 917 701 8684</t>
  </si>
  <si>
    <t>28 Central Location King Studio</t>
  </si>
  <si>
    <t>Z2 Modern Zen Hideaway</t>
  </si>
  <si>
    <t>M2 T3 424</t>
  </si>
  <si>
    <t>Leyson San Juan</t>
  </si>
  <si>
    <t>leyson37@gmail.com</t>
  </si>
  <si>
    <t>(+63) 917 713 7994</t>
  </si>
  <si>
    <t>31 OMP T2 4B</t>
  </si>
  <si>
    <t>Anjo Diansay</t>
  </si>
  <si>
    <t>anjodiansay@gmail.com</t>
  </si>
  <si>
    <t>M2 Minimalist and Cozy Studio</t>
  </si>
  <si>
    <t>+1 (424) 385-1369</t>
  </si>
  <si>
    <t>31 OMP T2 4B - ALIMPOYO.pdf</t>
  </si>
  <si>
    <t>31 Budget-Friendly Studio</t>
  </si>
  <si>
    <t>N2 T3 426</t>
  </si>
  <si>
    <t>N2 Sleek Urban Escape</t>
  </si>
  <si>
    <t>38 OMP T1 9N</t>
  </si>
  <si>
    <t>O2 T3 826</t>
  </si>
  <si>
    <t>Ibrahim Khalilullah Maricar</t>
  </si>
  <si>
    <t>ibrahim.maricar@outlook.com</t>
  </si>
  <si>
    <t>AT T3 826 -  SAN JUAN (RENEWAL).pdf</t>
  </si>
  <si>
    <t>38 Cozy Urban Hideaway</t>
  </si>
  <si>
    <t>O2 Urban Zen Retreat</t>
  </si>
  <si>
    <t>Avida Tower 4</t>
  </si>
  <si>
    <t>J2 T4 117</t>
  </si>
  <si>
    <t>Cherry Villa / Jeseryl Villa</t>
  </si>
  <si>
    <r>
      <rPr>
        <rFont val="Arial"/>
        <color theme="1"/>
      </rPr>
      <t>kixmd@yahoo.com</t>
    </r>
  </si>
  <si>
    <t>AT T4 117 - PINK/VILLA.pdf</t>
  </si>
  <si>
    <t>32 OMP T3 10E</t>
  </si>
  <si>
    <t>Rodel Alimpoyo</t>
  </si>
  <si>
    <t>rodel5alimpoyo@yahoo.com.ph</t>
  </si>
  <si>
    <t>Charge</t>
  </si>
  <si>
    <t>Cost</t>
  </si>
  <si>
    <t>Bernwood Tower</t>
  </si>
  <si>
    <t>BT 1 1222</t>
  </si>
  <si>
    <t>32 OMP T3 10E - FARAON.pdf</t>
  </si>
  <si>
    <t>Ruth Santisteban Serrato</t>
  </si>
  <si>
    <t>ruthserrato@yahoo.com</t>
  </si>
  <si>
    <t>Extra Person</t>
  </si>
  <si>
    <t>32 Best Value Family Suite</t>
  </si>
  <si>
    <t>BT 1 Chic City Studio Retreat</t>
  </si>
  <si>
    <t>EARLY CHECK IN</t>
  </si>
  <si>
    <t>FREE</t>
  </si>
  <si>
    <t>LATE CHECK OUT</t>
  </si>
  <si>
    <t>6 LPS 16S</t>
  </si>
  <si>
    <t>Christine Ladigohon</t>
  </si>
  <si>
    <t>christineladigohon@gmail.com</t>
  </si>
  <si>
    <t>(+63) 939 181 8824</t>
  </si>
  <si>
    <t>LPS 16S - LADIGOHON.pdf</t>
  </si>
  <si>
    <t>Day use (8 hours)</t>
  </si>
  <si>
    <t>6 Simple Pearl Retreat</t>
  </si>
  <si>
    <t>40 OMP T1 7U</t>
  </si>
  <si>
    <t>Night use (8 hours)</t>
  </si>
  <si>
    <t>Millicent Tiu</t>
  </si>
  <si>
    <t>Price</t>
  </si>
  <si>
    <t>millicent.sy.tiu@gmail.com</t>
  </si>
  <si>
    <t>Flat Sheet</t>
  </si>
  <si>
    <t>Pillows</t>
  </si>
  <si>
    <t>Towels</t>
  </si>
  <si>
    <t xml:space="preserve">Water </t>
  </si>
  <si>
    <t>CLEANING FEE (during stay)</t>
  </si>
  <si>
    <t>40 Minimalist Haven</t>
  </si>
  <si>
    <t>Touch up</t>
  </si>
  <si>
    <t>Linens</t>
  </si>
  <si>
    <t>General Cleaning</t>
  </si>
  <si>
    <t>200/set</t>
  </si>
  <si>
    <t>1-bedroom</t>
  </si>
  <si>
    <t xml:space="preserve">42 LPS 5E </t>
  </si>
  <si>
    <t>Executive Studio</t>
  </si>
  <si>
    <t>Mary Jean Bearneza</t>
  </si>
  <si>
    <t>2-bedroom</t>
  </si>
  <si>
    <t>cornerhome99@gmail.com</t>
  </si>
  <si>
    <t>(+63) 919 384 4464</t>
  </si>
  <si>
    <t>LPS 5E - BEARNEZA.pdf</t>
  </si>
  <si>
    <t>25 LPS 8S</t>
  </si>
  <si>
    <t xml:space="preserve">11 OMP T2 5P </t>
  </si>
  <si>
    <t>(+1) (204) 807 2346</t>
  </si>
  <si>
    <t>Ernestine Valle</t>
  </si>
  <si>
    <t>enitsenrevalle@gmail.com</t>
  </si>
  <si>
    <t>25 LPS 8S - JACOMILLE.pdf</t>
  </si>
  <si>
    <t>11 OMP T2 5P - VALLE.pdf</t>
  </si>
  <si>
    <t>25 Central Luxury Studio</t>
  </si>
  <si>
    <t>11 OMP T2 5P</t>
  </si>
  <si>
    <t>11 Warm and Cozy Studio</t>
  </si>
  <si>
    <t>18 LPS 9R</t>
  </si>
  <si>
    <t>18 LPS 9R - DURBIN.pdf</t>
  </si>
  <si>
    <t>18 Warm Studio Oasis</t>
  </si>
  <si>
    <t>IN PROGRESS</t>
  </si>
  <si>
    <t>41 OMP T3 10K</t>
  </si>
  <si>
    <t>Ibrahim Kabeer</t>
  </si>
  <si>
    <t>ibrahimmaricar@outlook.com</t>
  </si>
  <si>
    <t>OMP T3 10K</t>
  </si>
  <si>
    <t>24 Modern 1-Bedroom Minimalist Sanctuary</t>
  </si>
  <si>
    <t>5 LPS 16T</t>
  </si>
  <si>
    <t>Esther Palmares</t>
  </si>
  <si>
    <t>Esjoyp@aol.com</t>
  </si>
  <si>
    <t>LPS 16T - PALMARES.pdf</t>
  </si>
  <si>
    <t>22 LPS 8J</t>
  </si>
  <si>
    <t>Adonis Zapanta</t>
  </si>
  <si>
    <t>dimple_email2@yahoo.com</t>
  </si>
  <si>
    <t>5 Modern Chic Studio</t>
  </si>
  <si>
    <t>22 LPS 8J -ZAPANTA.pdf</t>
  </si>
  <si>
    <t>22 Luxurious 1-Bedroom Apartment</t>
  </si>
  <si>
    <t>UNIT TYPE</t>
  </si>
  <si>
    <t>34 LPS 5Z</t>
  </si>
  <si>
    <t xml:space="preserve">DATE SIGNED </t>
  </si>
  <si>
    <t>STATUS</t>
  </si>
  <si>
    <t>Maria Emily Belicena</t>
  </si>
  <si>
    <t>emilybelicena@gmail.com</t>
  </si>
  <si>
    <t xml:space="preserve">TERMS </t>
  </si>
  <si>
    <t>(+63) 917 317 7203</t>
  </si>
  <si>
    <t xml:space="preserve">OWNERS NAME </t>
  </si>
  <si>
    <t xml:space="preserve">CONTRACTS </t>
  </si>
  <si>
    <t xml:space="preserve">COMMISION RELEASED </t>
  </si>
  <si>
    <t>VOUCHER LINK</t>
  </si>
  <si>
    <t>34 LPS 5Z - BELICENA.pdf</t>
  </si>
  <si>
    <t>LIVE</t>
  </si>
  <si>
    <t xml:space="preserve">1 year </t>
  </si>
  <si>
    <t>34 Retro Chic Studio</t>
  </si>
  <si>
    <r>
      <rPr>
        <rFont val="Arial"/>
      </rPr>
      <t xml:space="preserve"> </t>
    </r>
    <r>
      <rPr>
        <rFont val="Arial"/>
        <color rgb="FF1155CC"/>
        <u/>
      </rPr>
      <t xml:space="preserve">OMP T3 10K </t>
    </r>
    <r>
      <rPr>
        <rFont val="Arial"/>
      </rPr>
      <t xml:space="preserve"> </t>
    </r>
  </si>
  <si>
    <t>PENDING</t>
  </si>
  <si>
    <t>OMP T1 7U</t>
  </si>
  <si>
    <t>6 months</t>
  </si>
  <si>
    <t>35 LPS 5Y</t>
  </si>
  <si>
    <t xml:space="preserve">Milicent Tiu </t>
  </si>
  <si>
    <t>OMP T1 7U - NOTARY.pdf</t>
  </si>
  <si>
    <t>(+63) 917 317 7204</t>
  </si>
  <si>
    <t>35 LPS 5Y - BELICENA.pdf</t>
  </si>
  <si>
    <t>RELEASED</t>
  </si>
  <si>
    <t xml:space="preserve">SMDC BB 515 </t>
  </si>
  <si>
    <t>Ariel Sandoy</t>
  </si>
  <si>
    <t>SMDC BB 515 - NOTARY &amp; S.P.A..pdf</t>
  </si>
  <si>
    <t>35 Adorable Studio</t>
  </si>
  <si>
    <t>Ira Villanueva</t>
  </si>
  <si>
    <t>WV T1 1013</t>
  </si>
  <si>
    <t xml:space="preserve">Engr. Rijade  Quezon </t>
  </si>
  <si>
    <t>WV T2 611</t>
  </si>
  <si>
    <t>Sharmaine Cosculluella Cabial</t>
  </si>
  <si>
    <t>WV 2 6II.pdf</t>
  </si>
  <si>
    <t>AT T2 209</t>
  </si>
  <si>
    <t>15 Elegant Urban Suite</t>
  </si>
  <si>
    <t>Katrina Samoro</t>
  </si>
  <si>
    <t>(+63) 917 898 9043</t>
  </si>
  <si>
    <t>AT T1 501</t>
  </si>
  <si>
    <t>Angelina Cordero</t>
  </si>
  <si>
    <t>SM 9 BC 208</t>
  </si>
  <si>
    <t>Dan Mark Jurada</t>
  </si>
  <si>
    <t>SM 9 BC 208 - JURADA.pdf</t>
  </si>
  <si>
    <t>SM 10 BA 1420</t>
  </si>
  <si>
    <t>Sugar Ganancial</t>
  </si>
  <si>
    <t>SM 10 BA 1420 - GANANCIAL.pdf</t>
  </si>
  <si>
    <t>16 LPS 15X</t>
  </si>
  <si>
    <t>SM 11 BA 624</t>
  </si>
  <si>
    <t>Euniel Solinap</t>
  </si>
  <si>
    <t>euniel.md@gmail.com</t>
  </si>
  <si>
    <t>Karen Go</t>
  </si>
  <si>
    <t>16 LPS 15X - SOLINAP.pdf</t>
  </si>
  <si>
    <t>SM 11 BB 624 - GO.pdf</t>
  </si>
  <si>
    <t>16 Cozy and Spacious Studio</t>
  </si>
  <si>
    <t>SH SW 8C</t>
  </si>
  <si>
    <t>1 year</t>
  </si>
  <si>
    <t xml:space="preserve">Maricel Hoy </t>
  </si>
  <si>
    <t>SD SW 8C CONTRACT - HOY .pdf</t>
  </si>
  <si>
    <t>TP NW 21B</t>
  </si>
  <si>
    <t xml:space="preserve">Amy Lapating </t>
  </si>
  <si>
    <t>TP NW 21B .pdf</t>
  </si>
  <si>
    <t>(+63) 918 901 2626</t>
  </si>
  <si>
    <t>LPS 16S</t>
  </si>
  <si>
    <t>Christine Ladagohon</t>
  </si>
  <si>
    <t>WV 23  T1 508</t>
  </si>
  <si>
    <t>Victor Raymundo Contreras</t>
  </si>
  <si>
    <t>WV 24 T1 511</t>
  </si>
  <si>
    <t>WV 25 T1 512</t>
  </si>
  <si>
    <t>Ibrahim Khalilullah Maricar / Marny Ringo</t>
  </si>
  <si>
    <t>WV 26 T1 513</t>
  </si>
  <si>
    <t>(+971) 555 911519</t>
  </si>
  <si>
    <t>OMP T3 10K - MARICAR/RINGO</t>
  </si>
  <si>
    <t>WV 720</t>
  </si>
  <si>
    <t>WV 616</t>
  </si>
  <si>
    <t>45 OMP T2 9L</t>
  </si>
  <si>
    <t>Ross Lim</t>
  </si>
  <si>
    <t>rosslim07@gmail.com</t>
  </si>
  <si>
    <t>SH NW 5T</t>
  </si>
  <si>
    <t>45 OMP T2 9L.pdf</t>
  </si>
  <si>
    <t>Mary Jean Talves Bearneza</t>
  </si>
  <si>
    <t>SH NW 5T - CONTRACT.pdf</t>
  </si>
  <si>
    <t xml:space="preserve">TP SW 8D </t>
  </si>
  <si>
    <t>JOAN REYES</t>
  </si>
  <si>
    <t>LPS 5E</t>
  </si>
  <si>
    <t>LPS 5E - CONTRACT (1).pdf</t>
  </si>
  <si>
    <t>(+63) 926 319 4338</t>
  </si>
  <si>
    <t>AT T1 508</t>
  </si>
  <si>
    <t>Cherry Pink Villa</t>
  </si>
  <si>
    <t>AT T4 117</t>
  </si>
  <si>
    <t>WV T2 1013</t>
  </si>
  <si>
    <t>Rijade Quezon</t>
  </si>
  <si>
    <t>WV T1 921</t>
  </si>
  <si>
    <t xml:space="preserve">Shane Mercolita </t>
  </si>
  <si>
    <t xml:space="preserve">SMDC BC 117 </t>
  </si>
  <si>
    <t>Ces Jaranilla Villareal</t>
  </si>
  <si>
    <t>OMP T1 5B</t>
  </si>
  <si>
    <t>ROSS LIM</t>
  </si>
  <si>
    <t>OMP T2 9L</t>
  </si>
  <si>
    <t xml:space="preserve">SD SW 8A </t>
  </si>
  <si>
    <t>ELLONAH SVET</t>
  </si>
  <si>
    <t>WV 1 918</t>
  </si>
  <si>
    <t>Rose Vargas</t>
  </si>
  <si>
    <t>Maja Armonio</t>
  </si>
  <si>
    <t>airbnbaccou@gmail.com</t>
  </si>
  <si>
    <t>Maricel Hoy</t>
  </si>
  <si>
    <t>maricelhoy@yahoo.com</t>
  </si>
  <si>
    <t>Antonio Geronca</t>
  </si>
  <si>
    <t>jadgeronca@gmail.com,
ems1215@ymail.com</t>
  </si>
  <si>
    <t>(+63) 917 859 3048</t>
  </si>
  <si>
    <t>`1`123wwassdfdxdx dxcxcvxcvc vbvx cvb987yt6432qw1</t>
  </si>
  <si>
    <t>36 LPS 3T</t>
  </si>
  <si>
    <t>Maria Emily Belicena/Beatriz Karina Belicena</t>
  </si>
  <si>
    <t>Maria Nelia Elvias</t>
  </si>
  <si>
    <t>kemonel2015@gmail.com</t>
  </si>
  <si>
    <t>(+63) 951 669 7674</t>
  </si>
  <si>
    <t>36 LPS 3T - MERCADO.pdf</t>
  </si>
  <si>
    <t>38 OMP T1 9N - ELVIAS.pdf</t>
  </si>
  <si>
    <t>36 Executive Garden Suite</t>
  </si>
  <si>
    <t>Ellen Lacson</t>
  </si>
  <si>
    <t>lacselle08@gmail.com</t>
  </si>
  <si>
    <t>27 OMP T3 5N - LACSON.pdf</t>
  </si>
  <si>
    <t>8 TP NW 21B</t>
  </si>
  <si>
    <t>Amy Lapating</t>
  </si>
  <si>
    <t>8 Skyline Sunset Suite</t>
  </si>
  <si>
    <t>9 TP NW 10E</t>
  </si>
  <si>
    <t>9 Roomy Urban Escape</t>
  </si>
  <si>
    <t>Robert Javellana</t>
  </si>
  <si>
    <t>rjjavellana67@yahoo.com</t>
  </si>
  <si>
    <t>10 TP SW 9E</t>
  </si>
  <si>
    <t>10 TP SW 9E - TIRADOR.pdf</t>
  </si>
  <si>
    <t>10 Luxurious King Suite</t>
  </si>
  <si>
    <t>Chris Tan</t>
  </si>
  <si>
    <t>tan_albert71@yahoo.com</t>
  </si>
  <si>
    <t>13 TP SW 5J</t>
  </si>
  <si>
    <t>One Spatial</t>
  </si>
  <si>
    <t>OS 4 1316</t>
  </si>
  <si>
    <t>13 TP SW 5J - VILLANUEVA.pdf</t>
  </si>
  <si>
    <t>OS 4 Family Suite Near Esplanade</t>
  </si>
  <si>
    <t>13 Peaceful Studio Nook</t>
  </si>
  <si>
    <t>OS 5 1318</t>
  </si>
  <si>
    <t>OS 5 Barkada Suite Near Esplanade</t>
  </si>
  <si>
    <t>OS 2 1327</t>
  </si>
  <si>
    <t>Gaudelyn Delfin</t>
  </si>
  <si>
    <t>gaudelfin23@gmail.com</t>
  </si>
  <si>
    <t>(+63) 919 992 2476</t>
  </si>
  <si>
    <t>14 TP NW 22C</t>
  </si>
  <si>
    <t>OS 2 Sleek &amp; Stylish 2BR</t>
  </si>
  <si>
    <t>Albert Tan</t>
  </si>
  <si>
    <t>OS 6 2505</t>
  </si>
  <si>
    <t>Charmaine Villareal</t>
  </si>
  <si>
    <t>chavillareal2017@gmail.com</t>
  </si>
  <si>
    <t>(+63) 918 985 0231</t>
  </si>
  <si>
    <t>OS 6 2505 - VILLAREAL.pdf</t>
  </si>
  <si>
    <t>OS 6 Super Spacious 2BR Near Esplanade</t>
  </si>
  <si>
    <t>14 TP NW 22C - DURBIN.pdf</t>
  </si>
  <si>
    <t>People's Hotel</t>
  </si>
  <si>
    <t>PC A 511</t>
  </si>
  <si>
    <t>Bryan So</t>
  </si>
  <si>
    <t>Btls@gmail.com</t>
  </si>
  <si>
    <t>(+63) 918 888 0111</t>
  </si>
  <si>
    <t>14 Skyline Serenity</t>
  </si>
  <si>
    <t>Top Choice Awardee A 2023</t>
  </si>
  <si>
    <t>PC B 512</t>
  </si>
  <si>
    <t>Top Choice Awardee B 2023</t>
  </si>
  <si>
    <t>75/25</t>
  </si>
  <si>
    <t>anjo.diansay47@gmail.com</t>
  </si>
  <si>
    <t>(+1) (424) 385 1369</t>
  </si>
  <si>
    <t>Joe Geronca</t>
  </si>
  <si>
    <t>jadgeronca@gmail.com</t>
  </si>
  <si>
    <t>(+63) 917 164 9919</t>
  </si>
  <si>
    <t>SD SW 8C - HOY .pdf</t>
  </si>
  <si>
    <t>7 SD SW 9G</t>
  </si>
  <si>
    <t>(+1 ) (203) 219-1427</t>
  </si>
  <si>
    <t>C</t>
  </si>
  <si>
    <t>(+63) 961 092 6625</t>
  </si>
  <si>
    <t>SD SW 3I - MATORRES.pdf</t>
  </si>
  <si>
    <t xml:space="preserve">43 SH NW 5T </t>
  </si>
  <si>
    <t>SH NW 5T - BEARNEZA.pdf</t>
  </si>
  <si>
    <t>43 SH NW 5T</t>
  </si>
  <si>
    <t>C2</t>
  </si>
  <si>
    <t>lilanieyoung@gmail.com</t>
  </si>
  <si>
    <t>(+63) 917 122 8861</t>
  </si>
  <si>
    <t>(+63) 905 473 8567</t>
  </si>
  <si>
    <t>(+1) (469) 974 5979</t>
  </si>
  <si>
    <t>SMDC</t>
  </si>
  <si>
    <t>SM 12 BB 515</t>
  </si>
  <si>
    <t>Ariel Sandoy / Thessa Sandoy</t>
  </si>
  <si>
    <t>asandoy82@gmail.com / geneselat@gmail.com</t>
  </si>
  <si>
    <t>(+1) 403 918 0294</t>
  </si>
  <si>
    <t>SM 12 Deluxe for Groups</t>
  </si>
  <si>
    <t>SM 2 BA 215</t>
  </si>
  <si>
    <t>Sweden Louise Wu</t>
  </si>
  <si>
    <t>swedenwu07@gmail.com</t>
  </si>
  <si>
    <t>(+63) 917 799 1118</t>
  </si>
  <si>
    <t>SM 2 BA 215 - WU.pdf</t>
  </si>
  <si>
    <t>SM 2 Peaceful Retreat Near SM City Iloilo</t>
  </si>
  <si>
    <t>SM 7 BA 509</t>
  </si>
  <si>
    <t>Evangeline Figueroa Uy</t>
  </si>
  <si>
    <t>vangie_257@yahoo.com</t>
  </si>
  <si>
    <t>SM 7 Simple Studio Near SM</t>
  </si>
  <si>
    <t>SM 8 BA 1115</t>
  </si>
  <si>
    <t>April Kaoli Mayordomo</t>
  </si>
  <si>
    <t>n/a</t>
  </si>
  <si>
    <t>SM 8 Chic &amp; Compact Studio Near SM City</t>
  </si>
  <si>
    <t>SM 5 BA 1425</t>
  </si>
  <si>
    <t>Irish Deysolong</t>
  </si>
  <si>
    <t>irishdeysolong523@gmail.com</t>
  </si>
  <si>
    <t>(+63) 998 431 8331</t>
  </si>
  <si>
    <t>SM 5 BA 1425 - DEYSOLONG.pdf</t>
  </si>
  <si>
    <t>E</t>
  </si>
  <si>
    <t>N9</t>
  </si>
  <si>
    <t>SM 3 BA 401</t>
  </si>
  <si>
    <t>Janette Jarabata</t>
  </si>
  <si>
    <t>janettejarabata84@gmail.com</t>
  </si>
  <si>
    <t>(+63) 917 129 8536</t>
  </si>
  <si>
    <t>SM 3 BA 401 - JARABATA.pdf</t>
  </si>
  <si>
    <t>SM 3 Metro Studio Near SM City</t>
  </si>
  <si>
    <t>SM 1 BA 1510</t>
  </si>
  <si>
    <t>Jeanne Bell Ferrer</t>
  </si>
  <si>
    <t>jeanne.ferrer75@gmail.com</t>
  </si>
  <si>
    <t>F2</t>
  </si>
  <si>
    <t>SM 1 Simple and Comfortable Studio for 2</t>
  </si>
  <si>
    <t>SM 6 BA 1505</t>
  </si>
  <si>
    <t>Jovie Catalan</t>
  </si>
  <si>
    <t>joeviecatalan2017@gmail.com,
chonavillaruz@gmail.com</t>
  </si>
  <si>
    <t>(+63) 995 226 8248</t>
  </si>
  <si>
    <t>SM 6 Cozy Minimalist Studio</t>
  </si>
  <si>
    <t>G T1 1009</t>
  </si>
  <si>
    <t>Rony Armonio</t>
  </si>
  <si>
    <t>Jenny May Bantolo / Dan Mark Jurada</t>
  </si>
  <si>
    <t>juradadanmark8888@gmail.com</t>
  </si>
  <si>
    <t>(+63) 916 874 5391
(+63) 977 107 1531</t>
  </si>
  <si>
    <t>SM 9 Minimalist Luxe Studio Near SM City</t>
  </si>
  <si>
    <t>SM 11 BB 624</t>
  </si>
  <si>
    <t>robkar9@yahoo.com.ph</t>
  </si>
  <si>
    <t>(+63) 920 928 4645</t>
  </si>
  <si>
    <t>SM 11 Spacious Urban Nest</t>
  </si>
  <si>
    <t>G2</t>
  </si>
  <si>
    <t>SM 4 BA 630</t>
  </si>
  <si>
    <t>Mizzy Rosaldes</t>
  </si>
  <si>
    <t>rosaldesmizzy@gmail.com</t>
  </si>
  <si>
    <t>(+63) 938 774 1704</t>
  </si>
  <si>
    <t>SM 4 BA 630 - ROSALDES.pdf</t>
  </si>
  <si>
    <t>SM 4 Simple &amp; Spacious</t>
  </si>
  <si>
    <t>L2 T1 605</t>
  </si>
  <si>
    <t>Raquel Sara</t>
  </si>
  <si>
    <t>Sugar Ganancial / Dina Jaudian</t>
  </si>
  <si>
    <t>svghbatch7@gmail.com</t>
  </si>
  <si>
    <t>(+63) 966 670 1370 , (+63) 920 675 9185</t>
  </si>
  <si>
    <t>L2 Budget Friendly Studio</t>
  </si>
  <si>
    <t>SM 10 BA 1420 - GANANCIAL/JAUDIAN.pdf</t>
  </si>
  <si>
    <t>SM 10 Minimalist Serene Spot</t>
  </si>
  <si>
    <t>Amelita Lapating / Eric Noriega</t>
  </si>
  <si>
    <t>amylapating@yahoo.com</t>
  </si>
  <si>
    <t>(+1) 661 321 6264</t>
  </si>
  <si>
    <t>TP NW 21B - LAPATING/NORIEGA</t>
  </si>
  <si>
    <t>O T1 1507</t>
  </si>
  <si>
    <t>Yvonne Chiu</t>
  </si>
  <si>
    <t>O Simple and Comfortable</t>
  </si>
  <si>
    <t>15 TP SW 8D</t>
  </si>
  <si>
    <t>Joan Reyes</t>
  </si>
  <si>
    <t>joansalmeoreyes@gmail.com</t>
  </si>
  <si>
    <t>(+63) 923 255 4900</t>
  </si>
  <si>
    <t>TP SW 8D - REYES.pdf</t>
  </si>
  <si>
    <t xml:space="preserve">Ira Villanueva-Valenzuela </t>
  </si>
  <si>
    <t>WV 24 T1 508</t>
  </si>
  <si>
    <t>bonnyapparelinc@gmail.com</t>
  </si>
  <si>
    <t>(+63) 917 329 5753</t>
  </si>
  <si>
    <t>WV 25 T1 511</t>
  </si>
  <si>
    <t>WV 26  T1 512</t>
  </si>
  <si>
    <t>WV 27 T1 513</t>
  </si>
  <si>
    <t>85/15</t>
  </si>
  <si>
    <t>WV 13 T1 717</t>
  </si>
  <si>
    <t xml:space="preserve">
bonnyapparelinc@gmail.com
chalan0916@gmail.com</t>
  </si>
  <si>
    <t>WV 13 Family &amp; Barkada Retreat</t>
  </si>
  <si>
    <t>WV 4 T1 813</t>
  </si>
  <si>
    <t>WV 4 Urban Studio</t>
  </si>
  <si>
    <t>WV 5 T1 816</t>
  </si>
  <si>
    <t>WV 5 Peaceful Abode</t>
  </si>
  <si>
    <t>WV 6 T1 820</t>
  </si>
  <si>
    <t>WV 6 Simple and Cozy</t>
  </si>
  <si>
    <t>WV 7 T1 821</t>
  </si>
  <si>
    <t>WV 7 Serene Haven</t>
  </si>
  <si>
    <t>WV 8 T1 818</t>
  </si>
  <si>
    <t>WV 8 Serene Family Room</t>
  </si>
  <si>
    <t>WV 9 T1 817</t>
  </si>
  <si>
    <t>WV 9 Best Vlaue Barkada Room</t>
  </si>
  <si>
    <t>WV 14 T1 718</t>
  </si>
  <si>
    <t>bonnyapparelinc@gmail.com
chalan0916@gmail.com</t>
  </si>
  <si>
    <t>J2</t>
  </si>
  <si>
    <t>WV 14 Peaceful &amp; Spacious Family Room</t>
  </si>
  <si>
    <t>WV 23 T2 1013</t>
  </si>
  <si>
    <t>Rijade Bibiano Quezon</t>
  </si>
  <si>
    <t>jadebibiano@gmail.com</t>
  </si>
  <si>
    <t>K T2 708</t>
  </si>
  <si>
    <t>(+63) 917 125 0640</t>
  </si>
  <si>
    <t>K Irresistable value for</t>
  </si>
  <si>
    <t>WV 20 T2 501</t>
  </si>
  <si>
    <t>John Marañon</t>
  </si>
  <si>
    <t>jmfilmsproduction2014@gmail.com</t>
  </si>
  <si>
    <t>(+63) 968 220 9677</t>
  </si>
  <si>
    <t>WV 20 T2 501 - MARAÑON.pdf</t>
  </si>
  <si>
    <t>WV 20 Smooth Space Minimalist Apartment</t>
  </si>
  <si>
    <t>WV 15 T1 715</t>
  </si>
  <si>
    <t>Jose Roy Hipolito</t>
  </si>
  <si>
    <t>joseroyhipolito71@gmail.com</t>
  </si>
  <si>
    <t>(+63) 918 214 9178</t>
  </si>
  <si>
    <t>WV 15 T1 715 - HIPOLITO.pdf</t>
  </si>
  <si>
    <t>WV 15 Tropical Bliss Retreat</t>
  </si>
  <si>
    <t>WV 12 T1 805</t>
  </si>
  <si>
    <t>L. Leo Dimamay</t>
  </si>
  <si>
    <t>lleodimamay.ifilneur@gmail.com</t>
  </si>
  <si>
    <t>WV T1 805 - DIMAMAY.pdf</t>
  </si>
  <si>
    <t>WV 12 Serene and Stylish</t>
  </si>
  <si>
    <t>WV 17 T1 1005</t>
  </si>
  <si>
    <t>WV 17 Sleek &amp; Trendy Studio w/ Bunk Bed</t>
  </si>
  <si>
    <t>WV 18 T2 611</t>
  </si>
  <si>
    <t>Sharmaine Cabial</t>
  </si>
  <si>
    <t>shacabial@gmail.com</t>
  </si>
  <si>
    <t>(+63) 939 513 2920</t>
  </si>
  <si>
    <t>WV 2 6II - CABIAL.pdf</t>
  </si>
  <si>
    <t>WV 18 Serene &amp; Minimalist Urban Studio</t>
  </si>
  <si>
    <t>WV 21 T2 824</t>
  </si>
  <si>
    <t>Jessie Labiste Jr.</t>
  </si>
  <si>
    <t>sirlabsclassroom@gmail.com</t>
  </si>
  <si>
    <t>(+63) 945 873 3548</t>
  </si>
  <si>
    <t>WV 21 Bright &amp; Airy Studio</t>
  </si>
  <si>
    <t>R2 T2 1223</t>
  </si>
  <si>
    <t>WV 3 T1 1003</t>
  </si>
  <si>
    <t>R2 Minimalist Snug Haven</t>
  </si>
  <si>
    <t>Rhea Subong</t>
  </si>
  <si>
    <t>subong_rhea@yahoo.com</t>
  </si>
  <si>
    <t>(+63) 977 889 9043</t>
  </si>
  <si>
    <t>WV 3 Peaceful Pinnacle</t>
  </si>
  <si>
    <t>WV 22 T2 1007</t>
  </si>
  <si>
    <t>WV 22 Simple &amp; Sleek</t>
  </si>
  <si>
    <t>WV 2 T1 824</t>
  </si>
  <si>
    <t>Ruby Arroyo</t>
  </si>
  <si>
    <t>rubyarroyo70@yahoo.com</t>
  </si>
  <si>
    <t>U</t>
  </si>
  <si>
    <t>WV 2 Tranquil Haven</t>
  </si>
  <si>
    <t>W T2 1008</t>
  </si>
  <si>
    <t>Roy Sio</t>
  </si>
  <si>
    <t>WV 16 T1 705</t>
  </si>
  <si>
    <t>Genelyn Dagum</t>
  </si>
  <si>
    <t>genalynpdagum@gmail.com</t>
  </si>
  <si>
    <t>(+63) 917 830 5827</t>
  </si>
  <si>
    <t>W Prime Location Condo for 3</t>
  </si>
  <si>
    <t>WV 16 T1 705 - DAGUM.pdf</t>
  </si>
  <si>
    <t>WV 16 Minimalist Zen Studio</t>
  </si>
  <si>
    <t>WV 1 T1 519</t>
  </si>
  <si>
    <t>WV 1 Minimalist Studio</t>
  </si>
  <si>
    <t>A2 T3 526</t>
  </si>
  <si>
    <t>Czarina Y. Ngan</t>
  </si>
  <si>
    <t>cyn8684@gmail.com</t>
  </si>
  <si>
    <t>WV 10 T2 914</t>
  </si>
  <si>
    <t>Julius Barvilla</t>
  </si>
  <si>
    <t>barvillaj@gmail.com</t>
  </si>
  <si>
    <t>(+63) 977 853 0017</t>
  </si>
  <si>
    <t>at the file</t>
  </si>
  <si>
    <t>WV 10 T2 914 - BARAVILLA.pdf</t>
  </si>
  <si>
    <t>WV 10 Stylish 1BR Apartment</t>
  </si>
  <si>
    <t>WV 19 T1 802</t>
  </si>
  <si>
    <t>Juzziel Magno</t>
  </si>
  <si>
    <t>juzzy.magno@yahoo.com</t>
  </si>
  <si>
    <t>(+63) 927 969 1038</t>
  </si>
  <si>
    <t>WV 19 T1 802 - MAGNO.pdf</t>
  </si>
  <si>
    <t>WV 19 Simple Studio w/ Bunk Bed</t>
  </si>
  <si>
    <t>J T3 812</t>
  </si>
  <si>
    <t>Vincent Flaminian</t>
  </si>
  <si>
    <t>J Travellers' Choice 2023</t>
  </si>
  <si>
    <t>M T3 610</t>
  </si>
  <si>
    <t>Vanessa Versola</t>
  </si>
  <si>
    <t>M Your Iloilo City Sanctuary</t>
  </si>
  <si>
    <t>V T3 909</t>
  </si>
  <si>
    <t>Meliton Bedia Oso</t>
  </si>
  <si>
    <t>V Picturesque Sunset Retreat w/ Washing Machine</t>
  </si>
  <si>
    <t>OS 3 1830</t>
  </si>
  <si>
    <t xml:space="preserve">Binas </t>
  </si>
  <si>
    <t>OS 3</t>
  </si>
  <si>
    <t>OS 3 Exquisite 2BR Retreat</t>
  </si>
  <si>
    <t>OS # 2925</t>
  </si>
  <si>
    <t>Rechelle Palmes</t>
  </si>
  <si>
    <t>OS # 2925 - PALMES.pdf</t>
  </si>
  <si>
    <t>Christine Magallanes</t>
  </si>
  <si>
    <t>Jean Sumampong</t>
  </si>
  <si>
    <t>Z</t>
  </si>
  <si>
    <t>Nathaniel Von Einsiedel</t>
  </si>
  <si>
    <t>Peoples Hotel</t>
  </si>
  <si>
    <t>OS 1</t>
  </si>
  <si>
    <t>OS 2 1327 - DELFIN.pdf</t>
  </si>
  <si>
    <t>Norie Rosaldes</t>
  </si>
  <si>
    <t>Evangeline Uy</t>
  </si>
  <si>
    <t>639666701370, 639206759185</t>
  </si>
  <si>
    <t>geneselat@yahoo.com</t>
  </si>
  <si>
    <t>WV 10 T2 914 - BARVILLA.pdf</t>
  </si>
  <si>
    <t>WV 13 T1 717 &amp; 718 - CONTRERAS.pdf</t>
  </si>
  <si>
    <t>WV 19 Simple Studio with Bunk Bed</t>
  </si>
  <si>
    <t>WV 11 T1 1017</t>
  </si>
  <si>
    <t>L Leo Dimamay</t>
  </si>
  <si>
    <t>WV 23 T1 508</t>
  </si>
  <si>
    <t>WV 27 T1 720</t>
  </si>
  <si>
    <t>WV 28 T1 616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</si>
</sst>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h:mm am/pm"/>
    <numFmt numFmtId="167" formatCode="[$₱]#,##0.00"/>
  </numFmts>
  <fonts count="90">
    <font>
      <sz val="10.0"/>
      <color rgb="FF000000"/>
      <name val="Arial"/>
      <scheme val="minor"/>
    </font>
    <font>
      <b/>
      <sz val="10.0"/>
      <color rgb="FFFFFFFF"/>
      <name val="Arial"/>
    </font>
    <font>
      <b/>
      <color rgb="FFFFFFFF"/>
      <name val="Arial"/>
    </font>
    <font>
      <b/>
      <sz val="10.0"/>
      <color theme="1"/>
      <name val="Arial"/>
    </font>
    <font>
      <b/>
      <sz val="10.0"/>
      <color theme="0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color rgb="FFFFFFFF"/>
      <name val="Arial"/>
    </font>
    <font>
      <sz val="10.0"/>
      <color rgb="FFFFFFFF"/>
      <name val="Arial"/>
    </font>
    <font>
      <sz val="10.0"/>
      <color rgb="FF000000"/>
      <name val="Arial"/>
    </font>
    <font>
      <sz val="10.0"/>
      <color rgb="FF222222"/>
      <name val="Arial"/>
    </font>
    <font>
      <sz val="10.0"/>
      <color theme="0"/>
      <name val="Arial"/>
    </font>
    <font>
      <i/>
      <sz val="10.0"/>
      <color rgb="FFFF0000"/>
      <name val="Arial"/>
    </font>
    <font>
      <u/>
      <color rgb="FF1155CC"/>
      <name val="Arial"/>
    </font>
    <font>
      <sz val="10.0"/>
      <color theme="10"/>
      <name val="Arial"/>
    </font>
    <font>
      <u/>
      <sz val="10.0"/>
      <color theme="10"/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b/>
      <i/>
      <sz val="10.0"/>
      <color rgb="FF000000"/>
      <name val="Arial"/>
    </font>
    <font>
      <b/>
      <i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theme="1"/>
      <name val="Inherit"/>
    </font>
    <font>
      <u/>
      <sz val="9.0"/>
      <color theme="10"/>
      <name val="Arial"/>
    </font>
    <font>
      <u/>
      <sz val="9.0"/>
      <color theme="10"/>
      <name val="Arial"/>
    </font>
    <font>
      <u/>
      <color rgb="FF1155CC"/>
      <name val="Arial"/>
    </font>
    <font>
      <u/>
      <sz val="10.0"/>
      <color rgb="FF0000FF"/>
      <name val="Arial"/>
    </font>
    <font>
      <sz val="9.0"/>
      <color theme="10"/>
      <name val="Arial"/>
    </font>
    <font/>
    <font>
      <u/>
      <color theme="1"/>
      <name val="Arial"/>
    </font>
    <font>
      <u/>
      <color theme="1"/>
      <name val="Arial"/>
    </font>
    <font>
      <u/>
      <sz val="10.0"/>
      <color rgb="FF0000FF"/>
      <name val="Arial"/>
    </font>
    <font>
      <u/>
      <sz val="10.0"/>
      <color theme="10"/>
      <name val="Arial"/>
    </font>
    <font>
      <color rgb="FF1155CC"/>
      <name val="Arial"/>
    </font>
    <font>
      <sz val="10.0"/>
      <color rgb="FF1155CC"/>
      <name val="Arial"/>
    </font>
    <font>
      <u/>
      <sz val="10.0"/>
      <color rgb="FF0000FF"/>
      <name val="Arial"/>
    </font>
    <font>
      <b/>
      <sz val="10.0"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sz val="11.0"/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u/>
      <color rgb="FF000000"/>
      <name val="Arial"/>
    </font>
    <font>
      <u/>
      <color theme="1"/>
      <name val="Arial"/>
    </font>
    <font>
      <u/>
      <color theme="1"/>
      <name val="Arial"/>
    </font>
    <font>
      <sz val="9.0"/>
      <color rgb="FF000000"/>
      <name val="Arial"/>
    </font>
    <font>
      <u/>
      <color rgb="FF0000FF"/>
    </font>
    <font>
      <u/>
      <sz val="10.0"/>
      <color rgb="FF0000FF"/>
      <name val="Arial"/>
    </font>
    <font>
      <u/>
      <color rgb="FF0000FF"/>
      <name val="Arial"/>
    </font>
    <font>
      <u/>
      <color rgb="FF0000FF"/>
    </font>
    <font>
      <u/>
      <sz val="10.0"/>
      <color rgb="FF0000FF"/>
      <name val="Arial"/>
    </font>
    <font>
      <u/>
      <color rgb="FF000000"/>
      <name val="Inherit"/>
    </font>
    <font>
      <u/>
      <color rgb="FF1155CC"/>
      <name val="Arial"/>
    </font>
    <font>
      <u/>
      <color rgb="FF0000FF"/>
      <name val="Arial"/>
    </font>
    <font>
      <u/>
      <color rgb="FF000000"/>
      <name val="Arial"/>
    </font>
    <font>
      <sz val="11.0"/>
      <color theme="1"/>
      <name val="Quattrocento Sans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theme="10"/>
      <name val="Arial"/>
    </font>
    <font>
      <u/>
      <sz val="10.0"/>
      <color rgb="FF0000FF"/>
      <name val="Arial"/>
    </font>
    <font>
      <u/>
      <color rgb="FF0000FF"/>
    </font>
    <font>
      <u/>
      <sz val="10.0"/>
      <color theme="10"/>
      <name val="Arial"/>
    </font>
    <font>
      <u/>
      <color rgb="FF1155CC"/>
      <name val="Arial"/>
    </font>
    <font>
      <u/>
      <sz val="10.0"/>
      <color rgb="FF000000"/>
      <name val="Arial"/>
    </font>
    <font>
      <sz val="10.0"/>
      <color rgb="FF000000"/>
      <name val="Quattrocento Sans"/>
    </font>
    <font>
      <u/>
      <color rgb="FF1155CC"/>
      <name val="Arial"/>
    </font>
    <font>
      <u/>
      <sz val="10.0"/>
      <color rgb="FF0000FF"/>
      <name val="Arial"/>
    </font>
    <font>
      <u/>
      <color theme="1"/>
      <name val="Arial"/>
    </font>
    <font>
      <u/>
      <sz val="10.0"/>
      <color theme="1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</fills>
  <borders count="38">
    <border/>
    <border>
      <left style="hair">
        <color rgb="FFF3F3F3"/>
      </left>
      <right style="hair">
        <color rgb="FFF3F3F3"/>
      </right>
      <top style="hair">
        <color rgb="FFF3F3F3"/>
      </top>
      <bottom style="hair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F3F3F3"/>
      </right>
      <top style="hair">
        <color rgb="FFF3F3F3"/>
      </top>
      <bottom style="hair">
        <color rgb="FFF3F3F3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hair">
        <color rgb="FFF3F3F3"/>
      </left>
      <right style="hair">
        <color rgb="FFF3F3F3"/>
      </right>
      <bottom style="hair">
        <color rgb="FFF3F3F3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0" fillId="2" fontId="1" numFmtId="164" xfId="0" applyAlignment="1" applyFill="1" applyFont="1" applyNumberFormat="1">
      <alignment horizontal="right" vertical="center"/>
    </xf>
    <xf borderId="0" fillId="2" fontId="1" numFmtId="164" xfId="0" applyAlignment="1" applyFill="1" applyFont="1" applyNumberFormat="1">
      <alignment horizontal="center" vertical="center"/>
    </xf>
    <xf borderId="1" fillId="2" fontId="2" numFmtId="49" xfId="0" applyAlignment="1" applyBorder="1" applyFill="1" applyFont="1" applyNumberFormat="1">
      <alignment horizontal="center" vertical="center"/>
    </xf>
    <xf borderId="2" fillId="3" fontId="3" numFmtId="0" xfId="0" applyAlignment="1" applyBorder="1" applyFill="1" applyFont="1">
      <alignment horizontal="center"/>
    </xf>
    <xf borderId="1" fillId="2" fontId="2" numFmtId="1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2" numFmtId="14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1" fillId="0" fontId="1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vertical="top"/>
    </xf>
    <xf borderId="0" fillId="4" fontId="6" numFmtId="0" xfId="0" applyFill="1" applyFont="1"/>
    <xf borderId="1" fillId="0" fontId="4" numFmtId="1" xfId="0" applyAlignment="1" applyBorder="1" applyFont="1" applyNumberFormat="1">
      <alignment horizontal="left" vertical="center"/>
    </xf>
    <xf borderId="0" fillId="0" fontId="7" numFmtId="0" xfId="0" applyAlignment="1" applyFont="1">
      <alignment horizontal="center"/>
    </xf>
    <xf borderId="2" fillId="0" fontId="5" numFmtId="0" xfId="0" applyBorder="1" applyFont="1"/>
    <xf borderId="1" fillId="2" fontId="2" numFmtId="14" xfId="0" applyAlignment="1" applyBorder="1" applyFill="1" applyFont="1" applyNumberFormat="1">
      <alignment horizontal="center"/>
    </xf>
    <xf borderId="0" fillId="4" fontId="6" numFmtId="0" xfId="0" applyAlignment="1" applyFill="1" applyFont="1">
      <alignment horizontal="left"/>
    </xf>
    <xf borderId="2" fillId="0" fontId="5" numFmtId="0" xfId="0" applyAlignment="1" applyBorder="1" applyFont="1">
      <alignment shrinkToFit="0" wrapText="1"/>
    </xf>
    <xf borderId="1" fillId="2" fontId="2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right"/>
    </xf>
    <xf borderId="1" fillId="2" fontId="8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4" fontId="6" numFmtId="165" xfId="0" applyAlignment="1" applyFill="1" applyFont="1" applyNumberFormat="1">
      <alignment horizontal="right"/>
    </xf>
    <xf borderId="0" fillId="4" fontId="6" numFmtId="0" xfId="0" applyAlignment="1" applyFill="1" applyFont="1">
      <alignment horizontal="right"/>
    </xf>
    <xf borderId="0" fillId="4" fontId="6" numFmtId="0" xfId="0" applyAlignment="1" applyFill="1" applyFont="1">
      <alignment horizontal="center"/>
    </xf>
    <xf borderId="1" fillId="2" fontId="9" numFmtId="0" xfId="0" applyAlignment="1" applyBorder="1" applyFill="1" applyFont="1">
      <alignment horizontal="center" vertical="bottom"/>
    </xf>
    <xf borderId="1" fillId="4" fontId="10" numFmtId="0" xfId="0" applyAlignment="1" applyBorder="1" applyFill="1" applyFont="1">
      <alignment vertical="center"/>
    </xf>
    <xf borderId="3" fillId="2" fontId="9" numFmtId="0" xfId="0" applyAlignment="1" applyBorder="1" applyFill="1" applyFont="1">
      <alignment horizontal="center" vertical="bottom"/>
    </xf>
    <xf borderId="2" fillId="0" fontId="11" numFmtId="0" xfId="0" applyBorder="1" applyFont="1"/>
    <xf borderId="1" fillId="4" fontId="10" numFmtId="0" xfId="0" applyAlignment="1" applyBorder="1" applyFill="1" applyFont="1">
      <alignment horizontal="left" vertical="center"/>
    </xf>
    <xf borderId="0" fillId="4" fontId="6" numFmtId="0" xfId="0" applyAlignment="1" applyFill="1" applyFont="1">
      <alignment vertical="center"/>
    </xf>
    <xf borderId="1" fillId="4" fontId="5" numFmtId="0" xfId="0" applyAlignment="1" applyBorder="1" applyFill="1" applyFont="1">
      <alignment vertical="center"/>
    </xf>
    <xf borderId="0" fillId="5" fontId="6" numFmtId="0" xfId="0" applyFill="1" applyFont="1"/>
    <xf borderId="1" fillId="0" fontId="12" numFmtId="0" xfId="0" applyAlignment="1" applyBorder="1" applyFont="1">
      <alignment horizontal="center"/>
    </xf>
    <xf borderId="1" fillId="4" fontId="6" numFmtId="165" xfId="0" applyAlignment="1" applyBorder="1" applyFill="1" applyFont="1" applyNumberFormat="1">
      <alignment horizontal="right" vertical="center"/>
    </xf>
    <xf borderId="0" fillId="5" fontId="6" numFmtId="0" xfId="0" applyAlignment="1" applyFill="1" applyFont="1">
      <alignment horizontal="left"/>
    </xf>
    <xf borderId="1" fillId="4" fontId="6" numFmtId="0" xfId="0" applyAlignment="1" applyBorder="1" applyFill="1" applyFont="1">
      <alignment horizontal="right" vertical="center"/>
    </xf>
    <xf borderId="0" fillId="5" fontId="6" numFmtId="165" xfId="0" applyAlignment="1" applyFill="1" applyFont="1" applyNumberFormat="1">
      <alignment horizontal="right"/>
    </xf>
    <xf borderId="1" fillId="0" fontId="10" numFmtId="0" xfId="0" applyAlignment="1" applyBorder="1" applyFont="1">
      <alignment vertical="center"/>
    </xf>
    <xf borderId="0" fillId="5" fontId="6" numFmtId="0" xfId="0" applyAlignment="1" applyFill="1" applyFont="1">
      <alignment horizontal="right"/>
    </xf>
    <xf borderId="1" fillId="0" fontId="10" numFmtId="0" xfId="0" applyAlignment="1" applyBorder="1" applyFont="1">
      <alignment horizontal="left"/>
    </xf>
    <xf borderId="1" fillId="0" fontId="10" numFmtId="0" xfId="0" applyBorder="1" applyFont="1"/>
    <xf borderId="0" fillId="5" fontId="6" numFmtId="0" xfId="0" applyAlignment="1" applyFill="1" applyFont="1">
      <alignment horizontal="center"/>
    </xf>
    <xf borderId="1" fillId="4" fontId="6" numFmtId="0" xfId="0" applyAlignment="1" applyBorder="1" applyFill="1" applyFont="1">
      <alignment horizontal="center" vertical="center"/>
    </xf>
    <xf borderId="2" fillId="0" fontId="13" numFmtId="0" xfId="0" applyBorder="1" applyFont="1"/>
    <xf borderId="1" fillId="4" fontId="14" numFmtId="0" xfId="0" applyAlignment="1" applyBorder="1" applyFill="1" applyFont="1">
      <alignment vertical="center"/>
    </xf>
    <xf borderId="0" fillId="0" fontId="15" numFmtId="0" xfId="0" applyFont="1"/>
    <xf borderId="0" fillId="0" fontId="6" numFmtId="0" xfId="0" applyFont="1"/>
    <xf borderId="1" fillId="0" fontId="16" numFmtId="0" xfId="0" applyAlignment="1" applyBorder="1" applyFont="1">
      <alignment horizontal="left" vertical="top"/>
    </xf>
    <xf borderId="1" fillId="0" fontId="10" numFmtId="1" xfId="0" applyAlignment="1" applyBorder="1" applyFont="1" applyNumberFormat="1">
      <alignment horizontal="left"/>
    </xf>
    <xf borderId="1" fillId="4" fontId="17" numFmtId="0" xfId="0" applyAlignment="1" applyBorder="1" applyFill="1" applyFont="1">
      <alignment vertical="center"/>
    </xf>
    <xf borderId="1" fillId="4" fontId="6" numFmtId="165" xfId="0" applyAlignment="1" applyBorder="1" applyFill="1" applyFont="1" applyNumberFormat="1">
      <alignment horizontal="right" vertical="bottom"/>
    </xf>
    <xf borderId="1" fillId="4" fontId="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vertical="center"/>
    </xf>
    <xf borderId="1" fillId="5" fontId="18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vertical="bottom"/>
    </xf>
    <xf borderId="1" fillId="0" fontId="6" numFmtId="0" xfId="0" applyBorder="1" applyFont="1"/>
    <xf borderId="1" fillId="5" fontId="10" numFmtId="0" xfId="0" applyAlignment="1" applyBorder="1" applyFill="1" applyFont="1">
      <alignment vertical="center"/>
    </xf>
    <xf borderId="1" fillId="5" fontId="10" numFmtId="0" xfId="0" applyAlignment="1" applyBorder="1" applyFill="1" applyFont="1">
      <alignment horizontal="left" vertical="center"/>
    </xf>
    <xf borderId="0" fillId="5" fontId="6" numFmtId="0" xfId="0" applyAlignment="1" applyFill="1" applyFont="1">
      <alignment vertical="center"/>
    </xf>
    <xf borderId="1" fillId="5" fontId="5" numFmtId="0" xfId="0" applyAlignment="1" applyBorder="1" applyFill="1" applyFont="1">
      <alignment vertical="center"/>
    </xf>
    <xf borderId="1" fillId="5" fontId="6" numFmtId="165" xfId="0" applyAlignment="1" applyBorder="1" applyFill="1" applyFont="1" applyNumberFormat="1">
      <alignment horizontal="right" vertical="center"/>
    </xf>
    <xf borderId="1" fillId="5" fontId="6" numFmtId="0" xfId="0" applyAlignment="1" applyBorder="1" applyFill="1" applyFont="1">
      <alignment horizontal="right" vertical="center"/>
    </xf>
    <xf borderId="1" fillId="0" fontId="19" numFmtId="0" xfId="0" applyAlignment="1" applyBorder="1" applyFont="1">
      <alignment horizontal="left"/>
    </xf>
    <xf borderId="1" fillId="5" fontId="6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vertical="bottom"/>
    </xf>
    <xf borderId="3" fillId="4" fontId="20" numFmtId="0" xfId="0" applyAlignment="1" applyBorder="1" applyFill="1" applyFont="1">
      <alignment vertical="bottom"/>
    </xf>
    <xf borderId="1" fillId="5" fontId="21" numFmtId="0" xfId="0" applyAlignment="1" applyBorder="1" applyFill="1" applyFont="1">
      <alignment vertical="center"/>
    </xf>
    <xf borderId="1" fillId="5" fontId="6" numFmtId="0" xfId="0" applyAlignment="1" applyBorder="1" applyFill="1" applyFont="1">
      <alignment vertical="center"/>
    </xf>
    <xf borderId="3" fillId="0" fontId="6" numFmtId="0" xfId="0" applyBorder="1" applyFont="1"/>
    <xf borderId="1" fillId="0" fontId="15" numFmtId="0" xfId="0" applyAlignment="1" applyBorder="1" applyFont="1">
      <alignment horizontal="left" vertical="top"/>
    </xf>
    <xf borderId="1" fillId="4" fontId="22" numFmtId="0" xfId="0" applyAlignment="1" applyBorder="1" applyFill="1" applyFont="1">
      <alignment vertical="bottom"/>
    </xf>
    <xf borderId="1" fillId="4" fontId="23" numFmtId="0" xfId="0" applyAlignment="1" applyBorder="1" applyFill="1" applyFont="1">
      <alignment vertical="bottom"/>
    </xf>
    <xf borderId="1" fillId="0" fontId="24" numFmtId="0" xfId="0" applyAlignment="1" applyBorder="1" applyFont="1">
      <alignment vertical="center"/>
    </xf>
    <xf borderId="3" fillId="3" fontId="6" numFmtId="0" xfId="0" applyAlignment="1" applyBorder="1" applyFill="1" applyFont="1">
      <alignment vertical="bottom"/>
    </xf>
    <xf borderId="0" fillId="4" fontId="25" numFmtId="0" xfId="0" applyAlignment="1" applyFill="1" applyFont="1">
      <alignment horizontal="center"/>
    </xf>
    <xf borderId="1" fillId="5" fontId="6" numFmtId="165" xfId="0" applyAlignment="1" applyBorder="1" applyFill="1" applyFont="1" applyNumberFormat="1">
      <alignment vertical="center"/>
    </xf>
    <xf borderId="1" fillId="5" fontId="26" numFmtId="0" xfId="0" applyAlignment="1" applyBorder="1" applyFill="1" applyFont="1">
      <alignment vertical="center"/>
    </xf>
    <xf borderId="0" fillId="5" fontId="27" numFmtId="0" xfId="0" applyAlignment="1" applyFill="1" applyFont="1">
      <alignment vertical="center"/>
    </xf>
    <xf borderId="0" fillId="5" fontId="28" numFmtId="0" xfId="0" applyAlignment="1" applyFill="1" applyFont="1">
      <alignment vertical="center"/>
    </xf>
    <xf borderId="0" fillId="5" fontId="29" numFmtId="0" xfId="0" applyAlignment="1" applyFill="1" applyFont="1">
      <alignment horizontal="center"/>
    </xf>
    <xf borderId="1" fillId="5" fontId="10" numFmtId="1" xfId="0" applyAlignment="1" applyBorder="1" applyFill="1" applyFont="1" applyNumberFormat="1">
      <alignment horizontal="left" vertical="center"/>
    </xf>
    <xf borderId="1" fillId="5" fontId="5" numFmtId="0" xfId="0" applyAlignment="1" applyBorder="1" applyFill="1" applyFont="1">
      <alignment horizontal="center" vertical="center"/>
    </xf>
    <xf borderId="1" fillId="0" fontId="10" numFmtId="1" xfId="0" applyAlignment="1" applyBorder="1" applyFont="1" applyNumberFormat="1">
      <alignment horizontal="left" shrinkToFit="0" wrapText="1"/>
    </xf>
    <xf borderId="1" fillId="5" fontId="30" numFmtId="0" xfId="0" applyAlignment="1" applyBorder="1" applyFill="1" applyFont="1">
      <alignment vertical="bottom"/>
    </xf>
    <xf borderId="1" fillId="4" fontId="31" numFmtId="0" xfId="0" applyAlignment="1" applyBorder="1" applyFill="1" applyFont="1">
      <alignment horizontal="left" vertical="center"/>
    </xf>
    <xf borderId="1" fillId="4" fontId="10" numFmtId="1" xfId="0" applyAlignment="1" applyBorder="1" applyFill="1" applyFont="1" applyNumberFormat="1">
      <alignment horizontal="left" vertical="center"/>
    </xf>
    <xf borderId="1" fillId="4" fontId="5" numFmtId="0" xfId="0" applyAlignment="1" applyBorder="1" applyFill="1" applyFont="1">
      <alignment horizontal="center" vertical="center"/>
    </xf>
    <xf borderId="1" fillId="4" fontId="32" numFmtId="165" xfId="0" applyAlignment="1" applyBorder="1" applyFill="1" applyFont="1" applyNumberFormat="1">
      <alignment horizontal="right" vertical="center"/>
    </xf>
    <xf borderId="0" fillId="4" fontId="33" numFmtId="0" xfId="0" applyAlignment="1" applyFill="1" applyFont="1">
      <alignment horizontal="center" vertical="center"/>
    </xf>
    <xf borderId="1" fillId="0" fontId="5" numFmtId="0" xfId="0" applyAlignment="1" applyBorder="1" applyFont="1">
      <alignment vertical="center"/>
    </xf>
    <xf borderId="1" fillId="5" fontId="10" numFmtId="0" xfId="0" applyAlignment="1" applyBorder="1" applyFill="1" applyFont="1">
      <alignment horizontal="left" readingOrder="0" vertical="center"/>
    </xf>
    <xf borderId="1" fillId="0" fontId="34" numFmtId="0" xfId="0" applyBorder="1" applyFont="1"/>
    <xf borderId="3" fillId="0" fontId="6" numFmtId="0" xfId="0" applyBorder="1" applyFont="1"/>
    <xf borderId="0" fillId="4" fontId="6" numFmtId="0" xfId="0" applyAlignment="1" applyFill="1" applyFont="1">
      <alignment horizontal="center" vertical="center"/>
    </xf>
    <xf borderId="1" fillId="5" fontId="31" numFmtId="0" xfId="0" applyAlignment="1" applyBorder="1" applyFill="1" applyFont="1">
      <alignment horizontal="left" vertical="center"/>
    </xf>
    <xf borderId="1" fillId="5" fontId="10" numFmtId="1" xfId="0" applyAlignment="1" applyBorder="1" applyFill="1" applyFont="1" applyNumberFormat="1">
      <alignment horizontal="left" shrinkToFit="0" vertical="center" wrapText="1"/>
    </xf>
    <xf borderId="1" fillId="5" fontId="32" numFmtId="165" xfId="0" applyAlignment="1" applyBorder="1" applyFill="1" applyFont="1" applyNumberFormat="1">
      <alignment horizontal="right" vertical="center"/>
    </xf>
    <xf borderId="1" fillId="5" fontId="35" numFmtId="0" xfId="0" applyAlignment="1" applyBorder="1" applyFill="1" applyFont="1">
      <alignment horizontal="center" vertical="center"/>
    </xf>
    <xf borderId="1" fillId="0" fontId="6" numFmtId="0" xfId="0" applyBorder="1" applyFont="1"/>
    <xf borderId="1" fillId="4" fontId="36" numFmtId="1" xfId="0" applyAlignment="1" applyBorder="1" applyFill="1" applyFont="1" applyNumberFormat="1">
      <alignment shrinkToFit="0" wrapText="1"/>
    </xf>
    <xf borderId="1" fillId="0" fontId="37" numFmtId="0" xfId="0" applyAlignment="1" applyBorder="1" applyFont="1">
      <alignment horizontal="left" vertical="top"/>
    </xf>
    <xf borderId="1" fillId="5" fontId="6" numFmtId="165" xfId="0" applyAlignment="1" applyBorder="1" applyFill="1" applyFont="1" applyNumberFormat="1">
      <alignment horizontal="right" vertical="bottom"/>
    </xf>
    <xf borderId="1" fillId="5" fontId="6" numFmtId="0" xfId="0" applyAlignment="1" applyBorder="1" applyFill="1" applyFont="1">
      <alignment horizontal="center"/>
    </xf>
    <xf borderId="1" fillId="0" fontId="38" numFmtId="0" xfId="0" applyAlignment="1" applyBorder="1" applyFont="1">
      <alignment horizontal="left" shrinkToFit="0" vertical="top" wrapText="1"/>
    </xf>
    <xf borderId="3" fillId="5" fontId="39" numFmtId="0" xfId="0" applyAlignment="1" applyBorder="1" applyFill="1" applyFont="1">
      <alignment vertical="bottom"/>
    </xf>
    <xf borderId="1" fillId="4" fontId="40" numFmtId="0" xfId="0" applyAlignment="1" applyBorder="1" applyFill="1" applyFont="1">
      <alignment vertical="center"/>
    </xf>
    <xf borderId="0" fillId="5" fontId="6" numFmtId="0" xfId="0" applyAlignment="1" applyFill="1" applyFont="1">
      <alignment horizontal="center" vertical="center"/>
    </xf>
    <xf borderId="3" fillId="4" fontId="6" numFmtId="0" xfId="0" applyAlignment="1" applyBorder="1" applyFill="1" applyFont="1">
      <alignment vertical="bottom"/>
    </xf>
    <xf borderId="1" fillId="4" fontId="10" numFmtId="0" xfId="0" applyAlignment="1" applyBorder="1" applyFill="1" applyFont="1">
      <alignment horizontal="center" vertical="center"/>
    </xf>
    <xf borderId="1" fillId="4" fontId="6" numFmtId="165" xfId="0" applyAlignment="1" applyBorder="1" applyFill="1" applyFont="1" applyNumberFormat="1">
      <alignment vertical="center"/>
    </xf>
    <xf borderId="1" fillId="0" fontId="41" numFmtId="0" xfId="0" applyAlignment="1" applyBorder="1" applyFont="1">
      <alignment horizontal="left" vertical="top"/>
    </xf>
    <xf borderId="3" fillId="5" fontId="6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5" fillId="0" fontId="42" numFmtId="0" xfId="0" applyBorder="1" applyFont="1"/>
    <xf borderId="6" fillId="0" fontId="42" numFmtId="0" xfId="0" applyBorder="1" applyFont="1"/>
    <xf borderId="0" fillId="0" fontId="6" numFmtId="0" xfId="0" applyAlignment="1" applyFont="1">
      <alignment vertical="bottom"/>
    </xf>
    <xf borderId="1" fillId="5" fontId="7" numFmtId="165" xfId="0" applyAlignment="1" applyBorder="1" applyFill="1" applyFont="1" applyNumberFormat="1">
      <alignment vertical="bottom"/>
    </xf>
    <xf borderId="1" fillId="5" fontId="7" numFmtId="0" xfId="0" applyAlignment="1" applyBorder="1" applyFill="1" applyFont="1">
      <alignment vertical="bottom"/>
    </xf>
    <xf borderId="7" fillId="7" fontId="7" numFmtId="0" xfId="0" applyAlignment="1" applyBorder="1" applyFill="1" applyFont="1">
      <alignment vertical="bottom"/>
    </xf>
    <xf borderId="2" fillId="7" fontId="7" numFmtId="0" xfId="0" applyAlignment="1" applyBorder="1" applyFill="1" applyFont="1">
      <alignment horizontal="center" vertical="bottom"/>
    </xf>
    <xf borderId="8" fillId="7" fontId="7" numFmtId="0" xfId="0" applyAlignment="1" applyBorder="1" applyFill="1" applyFont="1">
      <alignment horizontal="center" vertical="bottom"/>
    </xf>
    <xf borderId="0" fillId="0" fontId="6" numFmtId="166" xfId="0" applyAlignment="1" applyFont="1" applyNumberFormat="1">
      <alignment vertical="bottom"/>
    </xf>
    <xf borderId="0" fillId="5" fontId="43" numFmtId="0" xfId="0" applyAlignment="1" applyFill="1" applyFont="1">
      <alignment horizontal="center"/>
    </xf>
    <xf borderId="9" fillId="7" fontId="7" numFmtId="167" xfId="0" applyAlignment="1" applyBorder="1" applyFill="1" applyFont="1" applyNumberFormat="1">
      <alignment vertical="bottom"/>
    </xf>
    <xf borderId="10" fillId="0" fontId="6" numFmtId="167" xfId="0" applyAlignment="1" applyBorder="1" applyFont="1" applyNumberFormat="1">
      <alignment horizontal="right" vertical="bottom"/>
    </xf>
    <xf borderId="10" fillId="0" fontId="6" numFmtId="167" xfId="0" applyAlignment="1" applyBorder="1" applyFont="1" applyNumberFormat="1">
      <alignment vertical="bottom"/>
    </xf>
    <xf borderId="11" fillId="0" fontId="6" numFmtId="167" xfId="0" applyAlignment="1" applyBorder="1" applyFont="1" applyNumberFormat="1">
      <alignment vertical="bottom"/>
    </xf>
    <xf borderId="12" fillId="7" fontId="6" numFmtId="167" xfId="0" applyAlignment="1" applyBorder="1" applyFill="1" applyFont="1" applyNumberFormat="1">
      <alignment vertical="bottom"/>
    </xf>
    <xf borderId="0" fillId="4" fontId="44" numFmtId="0" xfId="0" applyAlignment="1" applyFill="1" applyFont="1">
      <alignment horizontal="center"/>
    </xf>
    <xf borderId="13" fillId="8" fontId="6" numFmtId="167" xfId="0" applyAlignment="1" applyBorder="1" applyFill="1" applyFont="1" applyNumberFormat="1">
      <alignment horizontal="right" vertical="bottom"/>
    </xf>
    <xf borderId="13" fillId="0" fontId="6" numFmtId="167" xfId="0" applyAlignment="1" applyBorder="1" applyFont="1" applyNumberFormat="1">
      <alignment vertical="bottom"/>
    </xf>
    <xf borderId="14" fillId="0" fontId="6" numFmtId="167" xfId="0" applyAlignment="1" applyBorder="1" applyFont="1" applyNumberFormat="1">
      <alignment vertical="bottom"/>
    </xf>
    <xf borderId="15" fillId="0" fontId="6" numFmtId="167" xfId="0" applyAlignment="1" applyBorder="1" applyFont="1" applyNumberFormat="1">
      <alignment vertical="bottom"/>
    </xf>
    <xf borderId="16" fillId="0" fontId="6" numFmtId="167" xfId="0" applyAlignment="1" applyBorder="1" applyFont="1" applyNumberFormat="1">
      <alignment vertical="bottom"/>
    </xf>
    <xf borderId="1" fillId="9" fontId="7" numFmtId="0" xfId="0" applyAlignment="1" applyBorder="1" applyFill="1" applyFont="1">
      <alignment horizontal="center"/>
    </xf>
    <xf borderId="10" fillId="0" fontId="6" numFmtId="167" xfId="0" applyAlignment="1" applyBorder="1" applyFont="1" applyNumberFormat="1">
      <alignment horizontal="right" readingOrder="0" vertical="bottom"/>
    </xf>
    <xf borderId="9" fillId="7" fontId="7" numFmtId="167" xfId="0" applyAlignment="1" applyBorder="1" applyFill="1" applyFont="1" applyNumberFormat="1">
      <alignment shrinkToFit="0" vertical="bottom" wrapText="1"/>
    </xf>
    <xf borderId="1" fillId="5" fontId="45" numFmtId="0" xfId="0" applyAlignment="1" applyBorder="1" applyFill="1" applyFont="1">
      <alignment vertical="center"/>
    </xf>
    <xf borderId="11" fillId="0" fontId="6" numFmtId="167" xfId="0" applyAlignment="1" applyBorder="1" applyFont="1" applyNumberFormat="1">
      <alignment readingOrder="0" vertical="bottom"/>
    </xf>
    <xf borderId="12" fillId="0" fontId="42" numFmtId="0" xfId="0" applyBorder="1" applyFont="1"/>
    <xf borderId="13" fillId="8" fontId="6" numFmtId="167" xfId="0" applyAlignment="1" applyBorder="1" applyFill="1" applyFont="1" applyNumberFormat="1">
      <alignment horizontal="right" readingOrder="0" vertical="bottom"/>
    </xf>
    <xf borderId="14" fillId="0" fontId="6" numFmtId="167" xfId="0" applyAlignment="1" applyBorder="1" applyFont="1" applyNumberFormat="1">
      <alignment readingOrder="0" vertical="bottom"/>
    </xf>
    <xf borderId="9" fillId="3" fontId="7" numFmtId="167" xfId="0" applyAlignment="1" applyBorder="1" applyFill="1" applyFont="1" applyNumberFormat="1">
      <alignment readingOrder="0" shrinkToFit="0" vertical="bottom" wrapText="1"/>
    </xf>
    <xf borderId="11" fillId="0" fontId="6" numFmtId="167" xfId="0" applyAlignment="1" applyBorder="1" applyFont="1" applyNumberFormat="1">
      <alignment horizontal="right" vertical="bottom"/>
    </xf>
    <xf borderId="1" fillId="0" fontId="46" numFmtId="0" xfId="0" applyAlignment="1" applyBorder="1" applyFont="1">
      <alignment horizontal="left" shrinkToFit="0" vertical="top" wrapText="1"/>
    </xf>
    <xf borderId="14" fillId="10" fontId="6" numFmtId="167" xfId="0" applyAlignment="1" applyBorder="1" applyFill="1" applyFont="1" applyNumberFormat="1">
      <alignment horizontal="right" vertical="bottom"/>
    </xf>
    <xf borderId="9" fillId="7" fontId="7" numFmtId="167" xfId="0" applyAlignment="1" applyBorder="1" applyFill="1" applyFont="1" applyNumberFormat="1">
      <alignment horizontal="center" readingOrder="0" shrinkToFit="0" vertical="bottom" wrapText="1"/>
    </xf>
    <xf borderId="10" fillId="0" fontId="6" numFmtId="167" xfId="0" applyAlignment="1" applyBorder="1" applyFont="1" applyNumberFormat="1">
      <alignment readingOrder="0" vertical="bottom"/>
    </xf>
    <xf borderId="13" fillId="8" fontId="6" numFmtId="167" xfId="0" applyAlignment="1" applyBorder="1" applyFill="1" applyFont="1" applyNumberFormat="1">
      <alignment readingOrder="0" vertical="bottom"/>
    </xf>
    <xf borderId="0" fillId="0" fontId="6" numFmtId="167" xfId="0" applyAlignment="1" applyFont="1" applyNumberFormat="1">
      <alignment vertical="bottom"/>
    </xf>
    <xf borderId="14" fillId="8" fontId="6" numFmtId="167" xfId="0" applyAlignment="1" applyBorder="1" applyFill="1" applyFont="1" applyNumberFormat="1">
      <alignment horizontal="right" vertical="bottom"/>
    </xf>
    <xf borderId="17" fillId="7" fontId="7" numFmtId="167" xfId="0" applyAlignment="1" applyBorder="1" applyFill="1" applyFont="1" applyNumberFormat="1">
      <alignment vertical="bottom"/>
    </xf>
    <xf borderId="18" fillId="7" fontId="6" numFmtId="167" xfId="0" applyAlignment="1" applyBorder="1" applyFill="1" applyFont="1" applyNumberFormat="1">
      <alignment vertical="bottom"/>
    </xf>
    <xf borderId="19" fillId="7" fontId="7" numFmtId="167" xfId="0" applyAlignment="1" applyBorder="1" applyFill="1" applyFont="1" applyNumberFormat="1">
      <alignment horizontal="center" vertical="bottom"/>
    </xf>
    <xf borderId="20" fillId="7" fontId="7" numFmtId="167" xfId="0" applyAlignment="1" applyBorder="1" applyFill="1" applyFont="1" applyNumberFormat="1">
      <alignment horizontal="center" vertical="bottom"/>
    </xf>
    <xf borderId="21" fillId="7" fontId="7" numFmtId="167" xfId="0" applyAlignment="1" applyBorder="1" applyFill="1" applyFont="1" applyNumberFormat="1">
      <alignment horizontal="center" vertical="bottom"/>
    </xf>
    <xf borderId="22" fillId="7" fontId="7" numFmtId="167" xfId="0" applyAlignment="1" applyBorder="1" applyFill="1" applyFont="1" applyNumberFormat="1">
      <alignment vertical="bottom"/>
    </xf>
    <xf borderId="23" fillId="0" fontId="6" numFmtId="167" xfId="0" applyAlignment="1" applyBorder="1" applyFont="1" applyNumberFormat="1">
      <alignment horizontal="right" vertical="bottom"/>
    </xf>
    <xf borderId="23" fillId="0" fontId="6" numFmtId="167" xfId="0" applyAlignment="1" applyBorder="1" applyFont="1" applyNumberFormat="1">
      <alignment vertical="bottom"/>
    </xf>
    <xf borderId="24" fillId="7" fontId="6" numFmtId="167" xfId="0" applyAlignment="1" applyBorder="1" applyFill="1" applyFont="1" applyNumberFormat="1">
      <alignment vertical="bottom"/>
    </xf>
    <xf borderId="24" fillId="8" fontId="6" numFmtId="167" xfId="0" applyAlignment="1" applyBorder="1" applyFill="1" applyFont="1" applyNumberFormat="1">
      <alignment horizontal="right" vertical="bottom"/>
    </xf>
    <xf borderId="24" fillId="8" fontId="6" numFmtId="167" xfId="0" applyAlignment="1" applyBorder="1" applyFill="1" applyFont="1" applyNumberFormat="1">
      <alignment vertical="bottom"/>
    </xf>
    <xf borderId="14" fillId="8" fontId="6" numFmtId="167" xfId="0" applyAlignment="1" applyBorder="1" applyFill="1" applyFont="1" applyNumberFormat="1">
      <alignment vertical="bottom"/>
    </xf>
    <xf borderId="17" fillId="7" fontId="7" numFmtId="167" xfId="0" applyAlignment="1" applyBorder="1" applyFill="1" applyFont="1" applyNumberFormat="1">
      <alignment shrinkToFit="0" vertical="top" wrapText="1"/>
    </xf>
    <xf borderId="18" fillId="0" fontId="42" numFmtId="0" xfId="0" applyBorder="1" applyFont="1"/>
    <xf borderId="4" fillId="6" fontId="2" numFmtId="167" xfId="0" applyAlignment="1" applyBorder="1" applyFill="1" applyFont="1" applyNumberFormat="1">
      <alignment horizontal="center" vertical="bottom"/>
    </xf>
    <xf borderId="7" fillId="7" fontId="7" numFmtId="167" xfId="0" applyAlignment="1" applyBorder="1" applyFill="1" applyFont="1" applyNumberFormat="1">
      <alignment vertical="bottom"/>
    </xf>
    <xf borderId="2" fillId="7" fontId="7" numFmtId="167" xfId="0" applyAlignment="1" applyBorder="1" applyFill="1" applyFont="1" applyNumberFormat="1">
      <alignment horizontal="center" vertical="bottom"/>
    </xf>
    <xf borderId="17" fillId="7" fontId="7" numFmtId="0" xfId="0" applyAlignment="1" applyBorder="1" applyFill="1" applyFont="1">
      <alignment readingOrder="0" vertical="bottom"/>
    </xf>
    <xf borderId="19" fillId="4" fontId="6" numFmtId="167" xfId="0" applyAlignment="1" applyBorder="1" applyFill="1" applyFont="1" applyNumberFormat="1">
      <alignment horizontal="right" vertical="bottom"/>
    </xf>
    <xf borderId="19" fillId="4" fontId="6" numFmtId="167" xfId="0" applyAlignment="1" applyBorder="1" applyFill="1" applyFont="1" applyNumberFormat="1">
      <alignment horizontal="right" readingOrder="0" vertical="bottom"/>
    </xf>
    <xf borderId="2" fillId="0" fontId="6" numFmtId="167" xfId="0" applyAlignment="1" applyBorder="1" applyFont="1" applyNumberFormat="1">
      <alignment readingOrder="0" vertical="bottom"/>
    </xf>
    <xf borderId="2" fillId="0" fontId="6" numFmtId="167" xfId="0" applyAlignment="1" applyBorder="1" applyFont="1" applyNumberFormat="1">
      <alignment vertical="bottom"/>
    </xf>
    <xf borderId="12" fillId="7" fontId="6" numFmtId="0" xfId="0" applyAlignment="1" applyBorder="1" applyFill="1" applyFont="1">
      <alignment vertical="bottom"/>
    </xf>
    <xf borderId="13" fillId="0" fontId="6" numFmtId="167" xfId="0" applyAlignment="1" applyBorder="1" applyFont="1" applyNumberFormat="1">
      <alignment readingOrder="0" vertical="bottom"/>
    </xf>
    <xf borderId="1" fillId="4" fontId="47" numFmtId="0" xfId="0" applyAlignment="1" applyBorder="1" applyFill="1" applyFont="1">
      <alignment vertical="center"/>
    </xf>
    <xf borderId="2" fillId="0" fontId="6" numFmtId="167" xfId="0" applyAlignment="1" applyBorder="1" applyFont="1" applyNumberFormat="1">
      <alignment horizontal="right" vertical="bottom"/>
    </xf>
    <xf borderId="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" fillId="0" fontId="48" numFmtId="0" xfId="0" applyAlignment="1" applyBorder="1" applyFont="1">
      <alignment horizontal="left" vertical="top"/>
    </xf>
    <xf borderId="9" fillId="7" fontId="7" numFmtId="167" xfId="0" applyAlignment="1" applyBorder="1" applyFill="1" applyFont="1" applyNumberFormat="1">
      <alignment readingOrder="0" vertical="bottom"/>
    </xf>
    <xf borderId="9" fillId="7" fontId="7" numFmtId="0" xfId="0" applyAlignment="1" applyBorder="1" applyFill="1" applyFont="1">
      <alignment readingOrder="0" vertical="bottom"/>
    </xf>
    <xf borderId="1" fillId="0" fontId="10" numFmtId="0" xfId="0" applyAlignment="1" applyBorder="1" applyFont="1">
      <alignment horizontal="left" vertical="top"/>
    </xf>
    <xf borderId="9" fillId="7" fontId="7" numFmtId="0" xfId="0" applyAlignment="1" applyBorder="1" applyFill="1" applyFont="1">
      <alignment vertical="bottom"/>
    </xf>
    <xf borderId="1" fillId="0" fontId="49" numFmtId="0" xfId="0" applyBorder="1" applyFont="1"/>
    <xf borderId="0" fillId="5" fontId="10" numFmtId="1" xfId="0" applyAlignment="1" applyFill="1" applyFont="1" applyNumberFormat="1">
      <alignment horizontal="left" shrinkToFit="0" vertical="center" wrapText="1"/>
    </xf>
    <xf borderId="1" fillId="4" fontId="10" numFmtId="1" xfId="0" applyAlignment="1" applyBorder="1" applyFill="1" applyFont="1" applyNumberFormat="1">
      <alignment horizontal="left" shrinkToFit="0" vertical="center" wrapText="1"/>
    </xf>
    <xf borderId="1" fillId="4" fontId="6" numFmtId="165" xfId="0" applyAlignment="1" applyBorder="1" applyFill="1" applyFont="1" applyNumberFormat="1">
      <alignment vertical="bottom"/>
    </xf>
    <xf borderId="0" fillId="5" fontId="6" numFmtId="0" xfId="0" applyAlignment="1" applyFill="1" applyFont="1">
      <alignment readingOrder="0" vertical="center"/>
    </xf>
    <xf borderId="1" fillId="4" fontId="50" numFmtId="0" xfId="0" applyAlignment="1" applyBorder="1" applyFill="1" applyFont="1">
      <alignment horizontal="left" vertical="center"/>
    </xf>
    <xf borderId="0" fillId="5" fontId="50" numFmtId="0" xfId="0" applyAlignment="1" applyFill="1" applyFont="1">
      <alignment horizontal="left" vertical="center"/>
    </xf>
    <xf borderId="1" fillId="4" fontId="51" numFmtId="0" xfId="0" applyAlignment="1" applyBorder="1" applyFill="1" applyFont="1">
      <alignment horizontal="center" vertical="center"/>
    </xf>
    <xf borderId="0" fillId="5" fontId="52" numFmtId="0" xfId="0" applyAlignment="1" applyFill="1" applyFont="1">
      <alignment horizontal="center" vertical="center"/>
    </xf>
    <xf borderId="1" fillId="5" fontId="47" numFmtId="0" xfId="0" applyAlignment="1" applyBorder="1" applyFill="1" applyFont="1">
      <alignment vertical="center"/>
    </xf>
    <xf borderId="0" fillId="4" fontId="10" numFmtId="0" xfId="0" applyAlignment="1" applyFill="1" applyFont="1">
      <alignment horizontal="left" vertical="center"/>
    </xf>
    <xf borderId="0" fillId="0" fontId="5" numFmtId="167" xfId="0" applyFont="1" applyNumberFormat="1"/>
    <xf borderId="0" fillId="0" fontId="1" numFmtId="0" xfId="0" applyAlignment="1" applyFont="1">
      <alignment horizontal="center"/>
    </xf>
    <xf borderId="0" fillId="0" fontId="5" numFmtId="18" xfId="0" applyAlignment="1" applyFont="1" applyNumberFormat="1">
      <alignment horizontal="right"/>
    </xf>
    <xf borderId="0" fillId="0" fontId="5" numFmtId="167" xfId="0" applyAlignment="1" applyFont="1" applyNumberFormat="1">
      <alignment horizontal="right"/>
    </xf>
    <xf borderId="25" fillId="0" fontId="50" numFmtId="0" xfId="0" applyAlignment="1" applyBorder="1" applyFont="1">
      <alignment horizontal="center"/>
    </xf>
    <xf borderId="26" fillId="0" fontId="42" numFmtId="0" xfId="0" applyBorder="1" applyFont="1"/>
    <xf borderId="27" fillId="0" fontId="5" numFmtId="18" xfId="0" applyAlignment="1" applyBorder="1" applyFont="1" applyNumberFormat="1">
      <alignment horizontal="right"/>
    </xf>
    <xf borderId="28" fillId="0" fontId="5" numFmtId="167" xfId="0" applyAlignment="1" applyBorder="1" applyFont="1" applyNumberFormat="1">
      <alignment horizontal="right"/>
    </xf>
    <xf borderId="28" fillId="0" fontId="5" numFmtId="167" xfId="0" applyAlignment="1" applyBorder="1" applyFont="1" applyNumberFormat="1">
      <alignment horizontal="right" readingOrder="0"/>
    </xf>
    <xf borderId="27" fillId="0" fontId="50" numFmtId="0" xfId="0" applyAlignment="1" applyBorder="1" applyFont="1">
      <alignment horizontal="center"/>
    </xf>
    <xf borderId="28" fillId="0" fontId="42" numFmtId="0" xfId="0" applyBorder="1" applyFont="1"/>
    <xf borderId="29" fillId="0" fontId="5" numFmtId="18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0" fillId="0" fontId="5" numFmtId="167" xfId="0" applyAlignment="1" applyFont="1" applyNumberFormat="1">
      <alignment readingOrder="0"/>
    </xf>
    <xf borderId="31" fillId="0" fontId="5" numFmtId="0" xfId="0" applyAlignment="1" applyBorder="1" applyFont="1">
      <alignment horizontal="center"/>
    </xf>
    <xf borderId="32" fillId="0" fontId="42" numFmtId="0" xfId="0" applyBorder="1" applyFont="1"/>
    <xf borderId="23" fillId="0" fontId="42" numFmtId="0" xfId="0" applyBorder="1" applyFont="1"/>
    <xf borderId="0" fillId="4" fontId="31" numFmtId="0" xfId="0" applyAlignment="1" applyFill="1" applyFont="1">
      <alignment horizontal="left" vertical="center"/>
    </xf>
    <xf borderId="1" fillId="4" fontId="53" numFmtId="0" xfId="0" applyAlignment="1" applyBorder="1" applyFill="1" applyFont="1">
      <alignment horizontal="center" vertical="center"/>
    </xf>
    <xf borderId="1" fillId="5" fontId="54" numFmtId="1" xfId="0" applyBorder="1" applyFill="1" applyFont="1" applyNumberFormat="1"/>
    <xf borderId="1" fillId="4" fontId="55" numFmtId="0" xfId="0" applyAlignment="1" applyBorder="1" applyFill="1" applyFont="1">
      <alignment horizontal="center" vertical="center"/>
    </xf>
    <xf borderId="1" fillId="3" fontId="56" numFmtId="0" xfId="0" applyAlignment="1" applyBorder="1" applyFill="1" applyFont="1">
      <alignment vertical="bottom"/>
    </xf>
    <xf borderId="33" fillId="0" fontId="7" numFmtId="0" xfId="0" applyAlignment="1" applyBorder="1" applyFont="1">
      <alignment horizontal="left" shrinkToFit="0" vertical="bottom" wrapText="0"/>
    </xf>
    <xf borderId="34" fillId="0" fontId="7" numFmtId="0" xfId="0" applyAlignment="1" applyBorder="1" applyFont="1">
      <alignment horizontal="left" shrinkToFit="0" vertical="bottom" wrapText="0"/>
    </xf>
    <xf borderId="34" fillId="0" fontId="7" numFmtId="0" xfId="0" applyAlignment="1" applyBorder="1" applyFont="1">
      <alignment horizontal="center" shrinkToFit="0" vertical="bottom" wrapText="0"/>
    </xf>
    <xf borderId="0" fillId="5" fontId="10" numFmtId="1" xfId="0" applyAlignment="1" applyFill="1" applyFont="1" applyNumberFormat="1">
      <alignment horizontal="left" vertical="center"/>
    </xf>
    <xf borderId="34" fillId="0" fontId="6" numFmtId="0" xfId="0" applyAlignment="1" applyBorder="1" applyFont="1">
      <alignment horizontal="left" shrinkToFit="0" vertical="center" wrapText="0"/>
    </xf>
    <xf borderId="35" fillId="0" fontId="6" numFmtId="0" xfId="0" applyAlignment="1" applyBorder="1" applyFont="1">
      <alignment horizontal="left" shrinkToFit="0" vertical="center" wrapText="0"/>
    </xf>
    <xf borderId="1" fillId="4" fontId="6" numFmtId="165" xfId="0" applyAlignment="1" applyBorder="1" applyFill="1" applyFont="1" applyNumberFormat="1">
      <alignment horizontal="right"/>
    </xf>
    <xf borderId="2" fillId="0" fontId="6" numFmtId="0" xfId="0" applyAlignment="1" applyBorder="1" applyFon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2" fillId="5" fontId="57" numFmtId="0" xfId="0" applyAlignment="1" applyBorder="1" applyFill="1" applyFont="1">
      <alignment shrinkToFit="0" vertical="bottom" wrapText="0"/>
    </xf>
    <xf borderId="2" fillId="0" fontId="6" numFmtId="0" xfId="0" applyAlignment="1" applyBorder="1" applyFont="1">
      <alignment shrinkToFit="0" vertical="center" wrapText="0"/>
    </xf>
    <xf borderId="0" fillId="4" fontId="10" numFmtId="1" xfId="0" applyAlignment="1" applyFill="1" applyFont="1" applyNumberFormat="1">
      <alignment horizontal="left" vertical="center"/>
    </xf>
    <xf borderId="2" fillId="0" fontId="58" numFmtId="0" xfId="0" applyAlignment="1" applyBorder="1" applyFont="1">
      <alignment shrinkToFit="0" vertical="bottom" wrapText="0"/>
    </xf>
    <xf borderId="2" fillId="0" fontId="59" numFmtId="49" xfId="0" applyAlignment="1" applyBorder="1" applyFont="1" applyNumberFormat="1">
      <alignment shrinkToFit="0" vertical="bottom" wrapText="0"/>
    </xf>
    <xf borderId="2" fillId="0" fontId="6" numFmtId="49" xfId="0" applyAlignment="1" applyBorder="1" applyFont="1" applyNumberFormat="1">
      <alignment shrinkToFit="0" vertical="bottom" wrapText="0"/>
    </xf>
    <xf borderId="2" fillId="4" fontId="6" numFmtId="164" xfId="0" applyAlignment="1" applyBorder="1" applyFill="1" applyFont="1" applyNumberFormat="1">
      <alignment shrinkToFit="0" vertical="bottom" wrapText="0"/>
    </xf>
    <xf borderId="2" fillId="0" fontId="6" numFmtId="164" xfId="0" applyAlignment="1" applyBorder="1" applyFont="1" applyNumberFormat="1">
      <alignment shrinkToFit="0" vertical="center" wrapText="0"/>
    </xf>
    <xf borderId="1" fillId="5" fontId="6" numFmtId="0" xfId="0" applyAlignment="1" applyBorder="1" applyFill="1" applyFont="1">
      <alignment horizontal="left" vertical="center"/>
    </xf>
    <xf borderId="2" fillId="0" fontId="60" numFmtId="49" xfId="0" applyAlignment="1" applyBorder="1" applyFont="1" applyNumberFormat="1">
      <alignment shrinkToFit="0" vertical="center" wrapText="0"/>
    </xf>
    <xf borderId="1" fillId="5" fontId="32" numFmtId="0" xfId="0" applyAlignment="1" applyBorder="1" applyFill="1" applyFont="1">
      <alignment horizontal="left" vertical="center"/>
    </xf>
    <xf borderId="1" fillId="5" fontId="6" numFmtId="1" xfId="0" applyAlignment="1" applyBorder="1" applyFill="1" applyFont="1" applyNumberFormat="1">
      <alignment vertical="center"/>
    </xf>
    <xf borderId="2" fillId="0" fontId="10" numFmtId="0" xfId="0" applyAlignment="1" applyBorder="1" applyFont="1">
      <alignment shrinkToFit="0" vertical="center" wrapText="0"/>
    </xf>
    <xf borderId="2" fillId="0" fontId="6" numFmtId="49" xfId="0" applyAlignment="1" applyBorder="1" applyFont="1" applyNumberFormat="1">
      <alignment shrinkToFit="0" vertical="center" wrapText="0"/>
    </xf>
    <xf borderId="36" fillId="0" fontId="6" numFmtId="0" xfId="0" applyAlignment="1" applyBorder="1" applyFont="1">
      <alignment shrinkToFit="0" vertical="center" wrapText="0"/>
    </xf>
    <xf borderId="1" fillId="4" fontId="11" numFmtId="0" xfId="0" applyBorder="1" applyFill="1" applyFont="1"/>
    <xf borderId="0" fillId="5" fontId="61" numFmtId="0" xfId="0" applyAlignment="1" applyFill="1" applyFont="1">
      <alignment horizontal="right"/>
    </xf>
    <xf borderId="1" fillId="0" fontId="62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left" vertical="center"/>
    </xf>
    <xf borderId="1" fillId="5" fontId="63" numFmtId="0" xfId="0" applyAlignment="1" applyBorder="1" applyFill="1" applyFont="1">
      <alignment vertical="center"/>
    </xf>
    <xf borderId="1" fillId="5" fontId="10" numFmtId="0" xfId="0" applyAlignment="1" applyBorder="1" applyFill="1" applyFont="1">
      <alignment horizontal="center" vertical="center"/>
    </xf>
    <xf borderId="1" fillId="4" fontId="47" numFmtId="0" xfId="0" applyAlignment="1" applyBorder="1" applyFill="1" applyFont="1">
      <alignment horizontal="center" vertical="center"/>
    </xf>
    <xf borderId="1" fillId="11" fontId="31" numFmtId="0" xfId="0" applyAlignment="1" applyBorder="1" applyFill="1" applyFont="1">
      <alignment horizontal="left" vertical="center"/>
    </xf>
    <xf borderId="1" fillId="0" fontId="64" numFmtId="0" xfId="0" applyAlignment="1" applyBorder="1" applyFont="1">
      <alignment horizontal="left" vertical="top"/>
    </xf>
    <xf borderId="1" fillId="3" fontId="7" numFmtId="0" xfId="0" applyAlignment="1" applyBorder="1" applyFill="1" applyFont="1">
      <alignment horizontal="center"/>
    </xf>
    <xf borderId="0" fillId="5" fontId="6" numFmtId="14" xfId="0" applyAlignment="1" applyFill="1" applyFont="1" applyNumberFormat="1">
      <alignment horizontal="right"/>
    </xf>
    <xf borderId="0" fillId="4" fontId="6" numFmtId="14" xfId="0" applyAlignment="1" applyFill="1" applyFont="1" applyNumberFormat="1">
      <alignment horizontal="right"/>
    </xf>
    <xf borderId="1" fillId="5" fontId="6" numFmtId="165" xfId="0" applyAlignment="1" applyBorder="1" applyFill="1" applyFont="1" applyNumberFormat="1">
      <alignment vertical="bottom"/>
    </xf>
    <xf borderId="1" fillId="5" fontId="65" numFmtId="0" xfId="0" applyAlignment="1" applyBorder="1" applyFill="1" applyFont="1">
      <alignment horizontal="center" vertical="center"/>
    </xf>
    <xf borderId="1" fillId="4" fontId="6" numFmtId="0" xfId="0" applyBorder="1" applyFill="1" applyFont="1"/>
    <xf borderId="1" fillId="4" fontId="66" numFmtId="0" xfId="0" applyAlignment="1" applyBorder="1" applyFill="1" applyFont="1">
      <alignment vertical="center"/>
    </xf>
    <xf borderId="1" fillId="5" fontId="6" numFmtId="0" xfId="0" applyBorder="1" applyFill="1" applyFont="1"/>
    <xf borderId="1" fillId="4" fontId="67" numFmtId="0" xfId="0" applyAlignment="1" applyBorder="1" applyFill="1" applyFont="1">
      <alignment horizontal="left" vertical="center"/>
    </xf>
    <xf borderId="1" fillId="5" fontId="6" numFmtId="165" xfId="0" applyAlignment="1" applyBorder="1" applyFill="1" applyFont="1" applyNumberFormat="1">
      <alignment horizontal="right"/>
    </xf>
    <xf borderId="1" fillId="12" fontId="6" numFmtId="0" xfId="0" applyAlignment="1" applyBorder="1" applyFill="1" applyFont="1">
      <alignment vertical="bottom"/>
    </xf>
    <xf borderId="0" fillId="3" fontId="6" numFmtId="0" xfId="0" applyFill="1" applyFont="1"/>
    <xf borderId="1" fillId="3" fontId="6" numFmtId="0" xfId="0" applyBorder="1" applyFill="1" applyFont="1"/>
    <xf borderId="1" fillId="4" fontId="32" numFmtId="0" xfId="0" applyAlignment="1" applyBorder="1" applyFill="1" applyFont="1">
      <alignment horizontal="left" vertical="center"/>
    </xf>
    <xf borderId="1" fillId="5" fontId="10" numFmtId="165" xfId="0" applyAlignment="1" applyBorder="1" applyFill="1" applyFont="1" applyNumberFormat="1">
      <alignment vertical="center"/>
    </xf>
    <xf borderId="1" fillId="5" fontId="10" numFmtId="165" xfId="0" applyAlignment="1" applyBorder="1" applyFill="1" applyFont="1" applyNumberFormat="1">
      <alignment horizontal="right" vertical="center"/>
    </xf>
    <xf borderId="1" fillId="4" fontId="10" numFmtId="165" xfId="0" applyAlignment="1" applyBorder="1" applyFill="1" applyFont="1" applyNumberFormat="1">
      <alignment vertical="center"/>
    </xf>
    <xf borderId="1" fillId="4" fontId="10" numFmtId="165" xfId="0" applyAlignment="1" applyBorder="1" applyFill="1" applyFont="1" applyNumberFormat="1">
      <alignment horizontal="right" vertical="center"/>
    </xf>
    <xf borderId="1" fillId="0" fontId="10" numFmtId="0" xfId="0" applyAlignment="1" applyBorder="1" applyFont="1">
      <alignment vertical="center"/>
    </xf>
    <xf borderId="1" fillId="5" fontId="50" numFmtId="0" xfId="0" applyAlignment="1" applyBorder="1" applyFill="1" applyFont="1">
      <alignment horizontal="left" vertical="center"/>
    </xf>
    <xf borderId="1" fillId="5" fontId="5" numFmtId="165" xfId="0" applyAlignment="1" applyBorder="1" applyFill="1" applyFont="1" applyNumberFormat="1">
      <alignment vertical="center"/>
    </xf>
    <xf borderId="1" fillId="5" fontId="15" numFmtId="0" xfId="0" applyAlignment="1" applyBorder="1" applyFill="1" applyFont="1">
      <alignment vertical="center"/>
    </xf>
    <xf borderId="1" fillId="4" fontId="7" numFmtId="165" xfId="0" applyAlignment="1" applyBorder="1" applyFill="1" applyFont="1" applyNumberFormat="1">
      <alignment vertical="bottom"/>
    </xf>
    <xf borderId="1" fillId="4" fontId="7" numFmtId="0" xfId="0" applyAlignment="1" applyBorder="1" applyFill="1" applyFont="1">
      <alignment vertical="bottom"/>
    </xf>
    <xf borderId="1" fillId="5" fontId="47" numFmtId="0" xfId="0" applyAlignment="1" applyBorder="1" applyFill="1" applyFont="1">
      <alignment horizontal="center" vertical="center"/>
    </xf>
    <xf borderId="1" fillId="4" fontId="15" numFmtId="0" xfId="0" applyAlignment="1" applyBorder="1" applyFill="1" applyFont="1">
      <alignment vertical="center"/>
    </xf>
    <xf borderId="1" fillId="4" fontId="5" numFmtId="165" xfId="0" applyAlignment="1" applyBorder="1" applyFill="1" applyFont="1" applyNumberFormat="1">
      <alignment vertical="center"/>
    </xf>
    <xf borderId="0" fillId="5" fontId="68" numFmtId="0" xfId="0" applyAlignment="1" applyFill="1" applyFont="1">
      <alignment shrinkToFit="0" wrapText="1"/>
    </xf>
    <xf borderId="1" fillId="4" fontId="31" numFmtId="165" xfId="0" applyAlignment="1" applyBorder="1" applyFill="1" applyFont="1" applyNumberFormat="1">
      <alignment horizontal="right" vertical="center"/>
    </xf>
    <xf borderId="1" fillId="5" fontId="31" numFmtId="165" xfId="0" applyAlignment="1" applyBorder="1" applyFill="1" applyFont="1" applyNumberFormat="1">
      <alignment horizontal="right" vertical="center"/>
    </xf>
    <xf borderId="0" fillId="5" fontId="69" numFmtId="0" xfId="0" applyAlignment="1" applyFill="1" applyFont="1">
      <alignment horizontal="center" vertical="center"/>
    </xf>
    <xf borderId="1" fillId="12" fontId="70" numFmtId="0" xfId="0" applyAlignment="1" applyBorder="1" applyFill="1" applyFont="1">
      <alignment vertical="bottom"/>
    </xf>
    <xf borderId="1" fillId="5" fontId="10" numFmtId="0" xfId="0" applyAlignment="1" applyBorder="1" applyFill="1" applyFont="1">
      <alignment vertical="center"/>
    </xf>
    <xf borderId="1" fillId="5" fontId="10" numFmtId="0" xfId="0" applyAlignment="1" applyBorder="1" applyFill="1" applyFont="1">
      <alignment horizontal="left" vertical="top"/>
    </xf>
    <xf borderId="1" fillId="5" fontId="10" numFmtId="0" xfId="0" applyAlignment="1" applyBorder="1" applyFill="1" applyFont="1">
      <alignment horizontal="left"/>
    </xf>
    <xf borderId="1" fillId="5" fontId="5" numFmtId="0" xfId="0" applyAlignment="1" applyBorder="1" applyFill="1" applyFont="1">
      <alignment vertical="center"/>
    </xf>
    <xf borderId="3" fillId="5" fontId="6" numFmtId="0" xfId="0" applyBorder="1" applyFill="1" applyFont="1"/>
    <xf borderId="1" fillId="5" fontId="71" numFmtId="0" xfId="0" applyAlignment="1" applyBorder="1" applyFill="1" applyFont="1">
      <alignment horizontal="center" vertical="center"/>
    </xf>
    <xf borderId="1" fillId="4" fontId="72" numFmtId="0" xfId="0" applyAlignment="1" applyBorder="1" applyFill="1" applyFont="1">
      <alignment shrinkToFit="0" wrapText="1"/>
    </xf>
    <xf borderId="1" fillId="5" fontId="7" numFmtId="0" xfId="0" applyBorder="1" applyFill="1" applyFont="1"/>
    <xf borderId="1" fillId="3" fontId="10" numFmtId="0" xfId="0" applyAlignment="1" applyBorder="1" applyFill="1" applyFont="1">
      <alignment vertical="center"/>
    </xf>
    <xf borderId="1" fillId="3" fontId="10" numFmtId="0" xfId="0" applyAlignment="1" applyBorder="1" applyFill="1" applyFont="1">
      <alignment horizontal="left" vertical="center"/>
    </xf>
    <xf borderId="1" fillId="3" fontId="31" numFmtId="0" xfId="0" applyAlignment="1" applyBorder="1" applyFill="1" applyFont="1">
      <alignment horizontal="left" vertical="center"/>
    </xf>
    <xf borderId="0" fillId="3" fontId="6" numFmtId="0" xfId="0" applyAlignment="1" applyFill="1" applyFont="1">
      <alignment vertical="center"/>
    </xf>
    <xf borderId="1" fillId="3" fontId="5" numFmtId="0" xfId="0" applyAlignment="1" applyBorder="1" applyFill="1" applyFont="1">
      <alignment horizontal="center" vertical="center"/>
    </xf>
    <xf borderId="1" fillId="3" fontId="6" numFmtId="165" xfId="0" applyAlignment="1" applyBorder="1" applyFill="1" applyFont="1" applyNumberFormat="1">
      <alignment vertical="center"/>
    </xf>
    <xf borderId="1" fillId="3" fontId="32" numFmtId="165" xfId="0" applyAlignment="1" applyBorder="1" applyFill="1" applyFont="1" applyNumberFormat="1">
      <alignment horizontal="right" vertical="center"/>
    </xf>
    <xf borderId="1" fillId="3" fontId="6" numFmtId="0" xfId="0" applyAlignment="1" applyBorder="1" applyFill="1" applyFont="1">
      <alignment horizontal="center" vertical="center"/>
    </xf>
    <xf borderId="1" fillId="3" fontId="73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vertical="center"/>
    </xf>
    <xf borderId="0" fillId="5" fontId="10" numFmtId="0" xfId="0" applyAlignment="1" applyFill="1" applyFont="1">
      <alignment vertical="center"/>
    </xf>
    <xf borderId="0" fillId="5" fontId="6" numFmtId="0" xfId="0" applyAlignment="1" applyFill="1" applyFont="1">
      <alignment horizontal="left" vertical="center"/>
    </xf>
    <xf borderId="0" fillId="5" fontId="10" numFmtId="0" xfId="0" applyAlignment="1" applyFill="1" applyFont="1">
      <alignment horizontal="left" vertical="center"/>
    </xf>
    <xf borderId="0" fillId="5" fontId="5" numFmtId="0" xfId="0" applyAlignment="1" applyFill="1" applyFont="1">
      <alignment horizontal="center" vertical="center"/>
    </xf>
    <xf borderId="0" fillId="5" fontId="10" numFmtId="165" xfId="0" applyAlignment="1" applyFill="1" applyFont="1" applyNumberFormat="1">
      <alignment vertical="center"/>
    </xf>
    <xf borderId="0" fillId="5" fontId="10" numFmtId="165" xfId="0" applyAlignment="1" applyFill="1" applyFont="1" applyNumberFormat="1">
      <alignment horizontal="right" vertical="center"/>
    </xf>
    <xf borderId="0" fillId="4" fontId="10" numFmtId="0" xfId="0" applyAlignment="1" applyFill="1" applyFont="1">
      <alignment vertical="center"/>
    </xf>
    <xf borderId="0" fillId="4" fontId="6" numFmtId="0" xfId="0" applyAlignment="1" applyFill="1" applyFont="1">
      <alignment horizontal="left" vertical="center"/>
    </xf>
    <xf borderId="0" fillId="4" fontId="5" numFmtId="0" xfId="0" applyAlignment="1" applyFill="1" applyFont="1">
      <alignment horizontal="center" vertical="center"/>
    </xf>
    <xf borderId="0" fillId="4" fontId="10" numFmtId="165" xfId="0" applyAlignment="1" applyFill="1" applyFont="1" applyNumberFormat="1">
      <alignment vertical="center"/>
    </xf>
    <xf borderId="0" fillId="4" fontId="10" numFmtId="165" xfId="0" applyAlignment="1" applyFill="1" applyFont="1" applyNumberFormat="1">
      <alignment horizontal="right" vertical="center"/>
    </xf>
    <xf borderId="1" fillId="5" fontId="10" numFmtId="0" xfId="0" applyBorder="1" applyFill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1" fillId="5" fontId="10" numFmtId="0" xfId="0" applyAlignment="1" applyBorder="1" applyFill="1" applyFont="1">
      <alignment horizontal="left" vertical="top"/>
    </xf>
    <xf borderId="1" fillId="5" fontId="10" numFmtId="1" xfId="0" applyAlignment="1" applyBorder="1" applyFill="1" applyFont="1" applyNumberFormat="1">
      <alignment horizontal="left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right" vertical="center"/>
    </xf>
    <xf borderId="1" fillId="5" fontId="6" numFmtId="165" xfId="0" applyAlignment="1" applyBorder="1" applyFill="1" applyFont="1" applyNumberFormat="1">
      <alignment vertical="bottom"/>
    </xf>
    <xf borderId="1" fillId="5" fontId="6" numFmtId="0" xfId="0" applyBorder="1" applyFill="1" applyFont="1"/>
    <xf borderId="1" fillId="5" fontId="6" numFmtId="0" xfId="0" applyAlignment="1" applyBorder="1" applyFill="1" applyFont="1">
      <alignment vertical="bottom"/>
    </xf>
    <xf borderId="3" fillId="5" fontId="6" numFmtId="0" xfId="0" applyBorder="1" applyFill="1" applyFont="1"/>
    <xf borderId="0" fillId="0" fontId="6" numFmtId="1" xfId="0" applyAlignment="1" applyFont="1" applyNumberFormat="1">
      <alignment vertical="center"/>
    </xf>
    <xf borderId="0" fillId="0" fontId="6" numFmtId="14" xfId="0" applyAlignment="1" applyFont="1" applyNumberFormat="1">
      <alignment vertical="center"/>
    </xf>
    <xf borderId="0" fillId="0" fontId="6" numFmtId="14" xfId="0" applyAlignment="1" applyFont="1" applyNumberFormat="1">
      <alignment horizontal="right" vertical="center"/>
    </xf>
    <xf borderId="1" fillId="4" fontId="6" numFmtId="165" xfId="0" applyAlignment="1" applyBorder="1" applyFill="1" applyFont="1" applyNumberFormat="1">
      <alignment horizontal="right" vertical="bottom"/>
    </xf>
    <xf borderId="1" fillId="4" fontId="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vertical="bottom"/>
    </xf>
    <xf borderId="1" fillId="4" fontId="74" numFmtId="0" xfId="0" applyAlignment="1" applyBorder="1" applyFill="1" applyFont="1">
      <alignment vertical="bottom"/>
    </xf>
    <xf borderId="1" fillId="5" fontId="6" numFmtId="165" xfId="0" applyAlignment="1" applyBorder="1" applyFill="1" applyFont="1" applyNumberFormat="1">
      <alignment horizontal="right" vertical="bottom"/>
    </xf>
    <xf borderId="1" fillId="5" fontId="7" numFmtId="165" xfId="0" applyAlignment="1" applyBorder="1" applyFill="1" applyFont="1" applyNumberFormat="1">
      <alignment vertical="bottom"/>
    </xf>
    <xf borderId="1" fillId="5" fontId="7" numFmtId="0" xfId="0" applyAlignment="1" applyBorder="1" applyFill="1" applyFont="1">
      <alignment vertical="bottom"/>
    </xf>
    <xf borderId="1" fillId="5" fontId="75" numFmtId="0" xfId="0" applyAlignment="1" applyBorder="1" applyFill="1" applyFont="1">
      <alignment vertical="bottom"/>
    </xf>
    <xf borderId="1" fillId="5" fontId="76" numFmtId="0" xfId="0" applyAlignment="1" applyBorder="1" applyFill="1" applyFont="1">
      <alignment vertical="bottom"/>
    </xf>
    <xf borderId="1" fillId="12" fontId="6" numFmtId="0" xfId="0" applyAlignment="1" applyBorder="1" applyFill="1" applyFont="1">
      <alignment vertical="bottom"/>
    </xf>
    <xf borderId="3" fillId="5" fontId="6" numFmtId="0" xfId="0" applyAlignment="1" applyBorder="1" applyFill="1" applyFont="1">
      <alignment vertical="bottom"/>
    </xf>
    <xf borderId="1" fillId="4" fontId="7" numFmtId="165" xfId="0" applyAlignment="1" applyBorder="1" applyFill="1" applyFont="1" applyNumberFormat="1">
      <alignment vertical="bottom"/>
    </xf>
    <xf borderId="1" fillId="4" fontId="7" numFmtId="0" xfId="0" applyAlignment="1" applyBorder="1" applyFill="1" applyFont="1">
      <alignment vertical="bottom"/>
    </xf>
    <xf borderId="1" fillId="12" fontId="77" numFmtId="0" xfId="0" applyAlignment="1" applyBorder="1" applyFill="1" applyFont="1">
      <alignment vertical="bottom"/>
    </xf>
    <xf borderId="1" fillId="4" fontId="78" numFmtId="0" xfId="0" applyAlignment="1" applyBorder="1" applyFill="1" applyFont="1">
      <alignment vertical="bottom"/>
    </xf>
    <xf borderId="3" fillId="4" fontId="6" numFmtId="0" xfId="0" applyAlignment="1" applyBorder="1" applyFill="1" applyFont="1">
      <alignment vertical="bottom"/>
    </xf>
    <xf borderId="1" fillId="4" fontId="6" numFmtId="165" xfId="0" applyAlignment="1" applyBorder="1" applyFill="1" applyFont="1" applyNumberFormat="1">
      <alignment vertical="bottom"/>
    </xf>
    <xf borderId="1" fillId="4" fontId="6" numFmtId="0" xfId="0" applyBorder="1" applyFill="1" applyFont="1"/>
    <xf borderId="1" fillId="5" fontId="79" numFmtId="0" xfId="0" applyAlignment="1" applyBorder="1" applyFill="1" applyFont="1">
      <alignment horizontal="left" vertical="top"/>
    </xf>
    <xf borderId="1" fillId="5" fontId="10" numFmtId="1" xfId="0" applyAlignment="1" applyBorder="1" applyFill="1" applyFont="1" applyNumberFormat="1">
      <alignment horizontal="left"/>
    </xf>
    <xf borderId="1" fillId="5" fontId="6" numFmtId="165" xfId="0" applyAlignment="1" applyBorder="1" applyFill="1" applyFont="1" applyNumberFormat="1">
      <alignment horizontal="right"/>
    </xf>
    <xf borderId="1" fillId="5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1" fillId="0" fontId="10" numFmtId="1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10" numFmtId="14" xfId="0" applyAlignment="1" applyBorder="1" applyFont="1" applyNumberFormat="1">
      <alignment vertical="center"/>
    </xf>
    <xf borderId="1" fillId="0" fontId="10" numFmtId="14" xfId="0" applyAlignment="1" applyBorder="1" applyFont="1" applyNumberFormat="1">
      <alignment horizontal="right" vertical="center"/>
    </xf>
    <xf borderId="1" fillId="0" fontId="80" numFmtId="0" xfId="0" applyAlignment="1" applyBorder="1" applyFont="1">
      <alignment vertical="center"/>
    </xf>
    <xf borderId="1" fillId="0" fontId="10" numFmtId="0" xfId="0" applyBorder="1" applyFont="1"/>
    <xf borderId="1" fillId="0" fontId="81" numFmtId="0" xfId="0" applyBorder="1" applyFont="1"/>
    <xf borderId="1" fillId="4" fontId="10" numFmtId="0" xfId="0" applyAlignment="1" applyBorder="1" applyFill="1" applyFont="1">
      <alignment vertical="bottom"/>
    </xf>
    <xf borderId="3" fillId="4" fontId="10" numFmtId="0" xfId="0" applyAlignment="1" applyBorder="1" applyFill="1" applyFont="1">
      <alignment vertical="bottom"/>
    </xf>
    <xf borderId="1" fillId="0" fontId="5" numFmtId="0" xfId="0" applyAlignment="1" applyBorder="1" applyFont="1">
      <alignment horizontal="left" vertical="top"/>
    </xf>
    <xf borderId="1" fillId="0" fontId="10" numFmtId="0" xfId="0" applyAlignment="1" applyBorder="1" applyFont="1">
      <alignment horizontal="left" shrinkToFit="0" vertical="top" wrapText="1"/>
    </xf>
    <xf borderId="1" fillId="0" fontId="6" numFmtId="165" xfId="0" applyBorder="1" applyFont="1" applyNumberFormat="1"/>
    <xf borderId="1" fillId="0" fontId="82" numFmtId="0" xfId="0" applyAlignment="1" applyBorder="1" applyFont="1">
      <alignment horizontal="left" shrinkToFit="0" vertical="center" wrapText="1"/>
    </xf>
    <xf borderId="1" fillId="0" fontId="10" numFmtId="1" xfId="0" applyAlignment="1" applyBorder="1" applyFont="1" applyNumberFormat="1">
      <alignment horizontal="left" shrinkToFit="0" vertical="center" wrapText="1"/>
    </xf>
    <xf borderId="1" fillId="5" fontId="83" numFmtId="0" xfId="0" applyBorder="1" applyFill="1" applyFont="1"/>
    <xf borderId="1" fillId="0" fontId="84" numFmtId="0" xfId="0" applyAlignment="1" applyBorder="1" applyFont="1">
      <alignment horizontal="left" vertical="top"/>
    </xf>
    <xf borderId="1" fillId="0" fontId="15" numFmtId="0" xfId="0" applyBorder="1" applyFont="1"/>
    <xf borderId="3" fillId="0" fontId="15" numFmtId="0" xfId="0" applyBorder="1" applyFont="1"/>
    <xf borderId="1" fillId="0" fontId="85" numFmtId="1" xfId="0" applyAlignment="1" applyBorder="1" applyFont="1" applyNumberFormat="1">
      <alignment horizontal="left"/>
    </xf>
    <xf borderId="3" fillId="0" fontId="10" numFmtId="0" xfId="0" applyBorder="1" applyFont="1"/>
    <xf borderId="1" fillId="0" fontId="5" numFmtId="0" xfId="0" applyBorder="1" applyFont="1"/>
    <xf borderId="3" fillId="0" fontId="5" numFmtId="0" xfId="0" applyBorder="1" applyFont="1"/>
    <xf borderId="1" fillId="0" fontId="10" numFmtId="0" xfId="0" applyAlignment="1" applyBorder="1" applyFont="1">
      <alignment horizontal="left"/>
    </xf>
    <xf borderId="1" fillId="0" fontId="10" numFmtId="0" xfId="0" applyAlignment="1" applyBorder="1" applyFont="1">
      <alignment horizontal="left" vertical="center"/>
    </xf>
    <xf borderId="1" fillId="0" fontId="10" numFmtId="165" xfId="0" applyBorder="1" applyFont="1" applyNumberFormat="1"/>
    <xf borderId="1" fillId="0" fontId="5" numFmtId="165" xfId="0" applyBorder="1" applyFont="1" applyNumberFormat="1"/>
    <xf borderId="1" fillId="0" fontId="86" numFmtId="0" xfId="0" applyAlignment="1" applyBorder="1" applyFont="1">
      <alignment vertical="bottom"/>
    </xf>
    <xf borderId="1" fillId="0" fontId="87" numFmtId="0" xfId="0" applyBorder="1" applyFont="1"/>
    <xf borderId="1" fillId="0" fontId="6" numFmtId="0" xfId="0" applyAlignment="1" applyBorder="1" applyFont="1">
      <alignment vertical="bottom"/>
    </xf>
    <xf borderId="1" fillId="0" fontId="88" numFmtId="0" xfId="0" applyAlignment="1" applyBorder="1" applyFont="1">
      <alignment vertical="bottom"/>
    </xf>
    <xf borderId="37" fillId="0" fontId="10" numFmtId="0" xfId="0" applyAlignment="1" applyBorder="1" applyFont="1">
      <alignment vertical="center"/>
    </xf>
    <xf borderId="37" fillId="0" fontId="10" numFmtId="0" xfId="0" applyAlignment="1" applyBorder="1" applyFont="1">
      <alignment vertical="center"/>
    </xf>
    <xf borderId="37" fillId="0" fontId="89" numFmtId="0" xfId="0" applyAlignment="1" applyBorder="1" applyFont="1">
      <alignment horizontal="left" vertical="top"/>
    </xf>
    <xf borderId="37" fillId="0" fontId="10" numFmtId="1" xfId="0" applyAlignment="1" applyBorder="1" applyFont="1" applyNumberFormat="1">
      <alignment horizontal="left"/>
    </xf>
    <xf borderId="37" fillId="5" fontId="6" numFmtId="165" xfId="0" applyAlignment="1" applyBorder="1" applyFill="1" applyFont="1" applyNumberFormat="1">
      <alignment vertical="bottom"/>
    </xf>
    <xf borderId="37" fillId="5" fontId="6" numFmtId="0" xfId="0" applyAlignment="1" applyBorder="1" applyFill="1" applyFont="1">
      <alignment horizontal="center"/>
    </xf>
    <xf borderId="37" fillId="5" fontId="6" numFmtId="0" xfId="0" applyAlignment="1" applyBorder="1" applyFill="1" applyFont="1">
      <alignment vertical="bottom"/>
    </xf>
    <xf borderId="37" fillId="0" fontId="6" numFmtId="0" xfId="0" applyBorder="1" applyFont="1"/>
    <xf borderId="37" fillId="0" fontId="15" numFmtId="0" xfId="0" applyBorder="1" applyFont="1"/>
    <xf borderId="1" fillId="0" fontId="10" numFmtId="0" xfId="0" applyAlignment="1" applyBorder="1" applyFont="1">
      <alignment horizontal="left" vertical="top"/>
    </xf>
    <xf borderId="1" fillId="0" fontId="10" numFmtId="1" xfId="0" applyAlignment="1" applyBorder="1" applyFont="1" applyNumberFormat="1">
      <alignment horizontal="left"/>
    </xf>
    <xf borderId="1" fillId="0" fontId="10" numFmtId="14" xfId="0" applyBorder="1" applyFont="1" applyNumberFormat="1"/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color rgb="FFF4CCCC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color rgb="FF674EA7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/>
      <fill>
        <patternFill patternType="none"/>
      </fill>
      <border/>
    </dxf>
    <dxf>
      <font>
        <b/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89D9"/>
          <bgColor rgb="FFF48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B7B7"/>
          <bgColor rgb="FFF4B7B7"/>
        </patternFill>
      </fill>
      <border/>
    </dxf>
    <dxf>
      <font/>
      <fill>
        <patternFill patternType="solid">
          <fgColor rgb="FFF4A1A1"/>
          <bgColor rgb="FFF4A1A1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ACC7F8"/>
          <bgColor rgb="FFACC7F8"/>
        </patternFill>
      </fill>
      <border/>
    </dxf>
    <dxf>
      <font>
        <color rgb="FFFFFFFF"/>
      </font>
      <fill>
        <patternFill patternType="solid">
          <fgColor rgb="FF7F7F00"/>
          <bgColor rgb="FF7F7F0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9AF7FF"/>
          <bgColor rgb="FF9AF7FF"/>
        </patternFill>
      </fill>
      <border/>
    </dxf>
    <dxf>
      <font>
        <color theme="0"/>
      </font>
      <fill>
        <patternFill patternType="solid">
          <fgColor rgb="FF4141FF"/>
          <bgColor rgb="FF4141FF"/>
        </patternFill>
      </fill>
      <border/>
    </dxf>
    <dxf>
      <font>
        <color rgb="FFFFFFFF"/>
      </font>
      <fill>
        <patternFill patternType="solid">
          <fgColor rgb="FFB78874"/>
          <bgColor rgb="FFB78874"/>
        </patternFill>
      </fill>
      <border/>
    </dxf>
    <dxf>
      <font>
        <color rgb="FFFFFFFF"/>
      </font>
      <fill>
        <patternFill patternType="solid">
          <fgColor theme="1"/>
          <bgColor theme="1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b/>
        <color rgb="FF1155CC"/>
      </font>
      <fill>
        <patternFill patternType="none"/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u/>
        <color rgb="FF1155CC"/>
      </font>
      <fill>
        <patternFill patternType="none"/>
      </fill>
      <border/>
    </dxf>
  </dxfs>
  <tableStyles count="3">
    <tableStyle count="3" pivot="0" name="OI-Old-style">
      <tableStyleElement dxfId="1" type="headerRow"/>
      <tableStyleElement dxfId="2" type="firstRowStripe"/>
      <tableStyleElement dxfId="3" type="secondRowStripe"/>
    </tableStyle>
    <tableStyle count="2" pivot="0" name="OI-Old-style 2">
      <tableStyleElement dxfId="3" type="firstRowStripe"/>
      <tableStyleElement dxfId="2" type="secondRowStripe"/>
    </tableStyle>
    <tableStyle count="3" pivot="0" name="BD Room Aquisition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657225</xdr:colOff>
      <xdr:row>9</xdr:row>
      <xdr:rowOff>247650</xdr:rowOff>
    </xdr:from>
    <xdr:ext cx="5467350" cy="1933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L87" displayName="Table_1" name="Table_1" id="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OI-Ol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89:H16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OI-Old-style 2" showColumnStripes="0" showFirstColumn="1" showLastColumn="1" showRowStripes="1"/>
</table>
</file>

<file path=xl/tables/table3.xml><?xml version="1.0" encoding="utf-8"?>
<table xmlns="http://schemas.openxmlformats.org/spreadsheetml/2006/main" ref="A1:H32" displayName="Table_3" name="Table_3" id="3">
  <tableColumns count="8">
    <tableColumn name="UNIT TYPE" id="1"/>
    <tableColumn name="DATE SIGNED " id="2"/>
    <tableColumn name="STATUS" id="3"/>
    <tableColumn name="TERMS " id="4"/>
    <tableColumn name="OWNERS NAME " id="5"/>
    <tableColumn name="CONTRACTS " id="6"/>
    <tableColumn name="COMMISION RELEASED " id="7"/>
    <tableColumn name="VOUCHER LINK" id="8"/>
  </tableColumns>
  <tableStyleInfo name="BD Room Aquisi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3e22GVxcNCDMohNIl8uGb1QP06Znr3bt/view?usp=drive_link" TargetMode="External"/><Relationship Id="rId194" Type="http://schemas.openxmlformats.org/officeDocument/2006/relationships/hyperlink" Target="https://drive.google.com/file/d/1UlEaxFyeblg2qSQZLo0jYbo2vUOHwnzs/view?usp=drive_link" TargetMode="External"/><Relationship Id="rId193" Type="http://schemas.openxmlformats.org/officeDocument/2006/relationships/hyperlink" Target="https://ycs.agoda.com/mldc/en-us/app/reporting/dashboard/68515720" TargetMode="External"/><Relationship Id="rId192" Type="http://schemas.openxmlformats.org/officeDocument/2006/relationships/hyperlink" Target="https://admin.booking.com/hotel/hoteladmin/extranet_ng/manage/home.html?ses=76a12ded010144b8d35db3bc8a9efcb3&amp;lang=xu&amp;hotel_account_id=15487701&amp;hotel_id=13385893" TargetMode="External"/><Relationship Id="rId191" Type="http://schemas.openxmlformats.org/officeDocument/2006/relationships/hyperlink" Target="https://www.airbnb.com/hosting/listings/editor/1318376534614801873/details/photo-tour" TargetMode="External"/><Relationship Id="rId187" Type="http://schemas.openxmlformats.org/officeDocument/2006/relationships/hyperlink" Target="https://www.airbnb.com/hosting/listings/editor/1241940848673911226/details/photo-tour" TargetMode="External"/><Relationship Id="rId186" Type="http://schemas.openxmlformats.org/officeDocument/2006/relationships/hyperlink" Target="https://drive.google.com/file/d/1jJtu9ysQx359T3aFkMDc18p3-crdy2MC/view?usp=drive_link" TargetMode="External"/><Relationship Id="rId185" Type="http://schemas.openxmlformats.org/officeDocument/2006/relationships/hyperlink" Target="https://ycs.agoda.com/mldc/en-us/app/reporting/dashboard/73023004" TargetMode="External"/><Relationship Id="rId184" Type="http://schemas.openxmlformats.org/officeDocument/2006/relationships/hyperlink" Target="https://admin.booking.com/hotel/hoteladmin/extranet_ng/manage/home.html?ses=76a12ded010144b8d35db3bc8a9efcb3&amp;hotel_id=14157654&amp;lang=xu&amp;hotel_account_id=15487701" TargetMode="External"/><Relationship Id="rId189" Type="http://schemas.openxmlformats.org/officeDocument/2006/relationships/hyperlink" Target="https://ycs.agoda.com/mldc/en-us/app/reporting/dashboard/68515764" TargetMode="External"/><Relationship Id="rId188" Type="http://schemas.openxmlformats.org/officeDocument/2006/relationships/hyperlink" Target="https://admin.booking.com/hotel/hoteladmin/extranet_ng/manage/home.html?hotel_account_id=15487701&amp;hotel_id=12848976&amp;lang=xu&amp;ses=76a12ded010144b8d35db3bc8a9efcb3" TargetMode="External"/><Relationship Id="rId183" Type="http://schemas.openxmlformats.org/officeDocument/2006/relationships/hyperlink" Target="https://www.airbnb.com/hosting/listings/editor/1420243498849532934/view-your-space" TargetMode="External"/><Relationship Id="rId182" Type="http://schemas.openxmlformats.org/officeDocument/2006/relationships/hyperlink" Target="https://ycs.agoda.com/mldc/en-us/app/reporting/dashboard/68515733" TargetMode="External"/><Relationship Id="rId181" Type="http://schemas.openxmlformats.org/officeDocument/2006/relationships/hyperlink" Target="https://admin.booking.com/hotel/hoteladmin/extranet_ng/manage/home.html?lang=xu&amp;ses=76a12ded010144b8d35db3bc8a9efcb3&amp;hotel_id=13378849&amp;hotel_account_id=15487701" TargetMode="External"/><Relationship Id="rId180" Type="http://schemas.openxmlformats.org/officeDocument/2006/relationships/hyperlink" Target="https://www.airbnb.com/hosting/listings/editor/1295194336032422360/details/photo-tour" TargetMode="External"/><Relationship Id="rId176" Type="http://schemas.openxmlformats.org/officeDocument/2006/relationships/hyperlink" Target="https://www.airbnb.com/hosting/listings/editor/1389047809375922957/details/photo-tour" TargetMode="External"/><Relationship Id="rId297" Type="http://schemas.openxmlformats.org/officeDocument/2006/relationships/hyperlink" Target="https://www.airbnb.com/hosting/listings/editor/1142512608120228848/details/photo-tour" TargetMode="External"/><Relationship Id="rId175" Type="http://schemas.openxmlformats.org/officeDocument/2006/relationships/hyperlink" Target="https://drive.google.com/file/d/14fh_Xzea0lHO50KTwsG4HhIDxTw0bfUF/view?usp=drive_link" TargetMode="External"/><Relationship Id="rId296" Type="http://schemas.openxmlformats.org/officeDocument/2006/relationships/hyperlink" Target="https://www.agoda.com/wv-4-urban-studio/hotel/iloilo-ph.html?hotel_id=55790664&amp;ds=Pqpv9ubB85m68Ltp" TargetMode="External"/><Relationship Id="rId174" Type="http://schemas.openxmlformats.org/officeDocument/2006/relationships/hyperlink" Target="https://ycs.agoda.com/mldc/en-us/app/reporting/dashboard/68515765" TargetMode="External"/><Relationship Id="rId295" Type="http://schemas.openxmlformats.org/officeDocument/2006/relationships/hyperlink" Target="https://admin.booking.com/hotel/hoteladmin/extranet_ng/manage/home.html?hotel_id=12007397&amp;lang=xu&amp;ses=76a12ded010144b8d35db3bc8a9efcb3&amp;hotel_account_id=15487701" TargetMode="External"/><Relationship Id="rId173" Type="http://schemas.openxmlformats.org/officeDocument/2006/relationships/hyperlink" Target="https://admin.booking.com/hotel/hoteladmin/extranet_ng/manage/home.html?hotel_id=12849044&amp;lang=xu&amp;ses=76a12ded010144b8d35db3bc8a9efcb3&amp;hotel_account_id=15487701" TargetMode="External"/><Relationship Id="rId294" Type="http://schemas.openxmlformats.org/officeDocument/2006/relationships/hyperlink" Target="https://www.airbnb.com/hosting/listings/editor/1142509869213798365/details/photo-tour/https://www.airbnb.com/hosting/listings/editor/1244432759517650370/details/photo-tour" TargetMode="External"/><Relationship Id="rId179" Type="http://schemas.openxmlformats.org/officeDocument/2006/relationships/hyperlink" Target="https://drive.google.com/file/d/18Z5bAGOGdh8oMCspKodkw4XAkR-XjjbI/view?usp=drive_link" TargetMode="External"/><Relationship Id="rId178" Type="http://schemas.openxmlformats.org/officeDocument/2006/relationships/hyperlink" Target="https://ycs.agoda.com/mldc/en-us/app/reporting/dashboard/72422187" TargetMode="External"/><Relationship Id="rId299" Type="http://schemas.openxmlformats.org/officeDocument/2006/relationships/hyperlink" Target="https://www.agoda.com/wv-5-peaceful-abode/hotel/iloilo-ph.html?hotel_id=55790673&amp;ds=Pqpv9ubB85m68Ltp" TargetMode="External"/><Relationship Id="rId177" Type="http://schemas.openxmlformats.org/officeDocument/2006/relationships/hyperlink" Target="https://admin.booking.com/hotel/hoteladmin/extranet_ng/manage/home.html?hotel_id=14150887&amp;ses=76a12ded010144b8d35db3bc8a9efcb3&amp;hotel_account_id=15487701&amp;lang=xu" TargetMode="External"/><Relationship Id="rId298" Type="http://schemas.openxmlformats.org/officeDocument/2006/relationships/hyperlink" Target="https://admin.booking.com/hotel/hoteladmin/extranet_ng/manage/home.html?hotel_account_id=15487701&amp;hotel_id=12007889&amp;ses=76a12ded010144b8d35db3bc8a9efcb3&amp;lang=xu" TargetMode="External"/><Relationship Id="rId198" Type="http://schemas.openxmlformats.org/officeDocument/2006/relationships/hyperlink" Target="https://www.airbnb.com/hosting/listings/editor/1317864259568748587/details/photo-tour" TargetMode="External"/><Relationship Id="rId197" Type="http://schemas.openxmlformats.org/officeDocument/2006/relationships/hyperlink" Target="https://ycs.agoda.com/mldc/en-us/app/reporting/dashboard/57177589" TargetMode="External"/><Relationship Id="rId196" Type="http://schemas.openxmlformats.org/officeDocument/2006/relationships/hyperlink" Target="https://admin.booking.com/hotel/hoteladmin/extranet_ng/manage/home.html?hotel_id=12220693&amp;hotel_account_id=15487701&amp;lang=xu&amp;ses=76a12ded010144b8d35db3bc8a9efcb3" TargetMode="External"/><Relationship Id="rId195" Type="http://schemas.openxmlformats.org/officeDocument/2006/relationships/hyperlink" Target="https://www.airbnb.com/hosting/listings/editor/1173123788462547671/details/photo-tour/https://www.airbnb.com/hosting/listings/editor/1234296370397134179/details/photo-tour" TargetMode="External"/><Relationship Id="rId199" Type="http://schemas.openxmlformats.org/officeDocument/2006/relationships/hyperlink" Target="https://admin.booking.com/hotel/hoteladmin/extranet_ng/manage/home.html?hotel_account_id=15487701&amp;hotel_id=13380451&amp;ses=077f0355f225198545ac0c6aeb1f1df5&amp;lang=xu" TargetMode="External"/><Relationship Id="rId150" Type="http://schemas.openxmlformats.org/officeDocument/2006/relationships/hyperlink" Target="https://drive.google.com/file/d/1IMoUK5DwBRp9bqggBoJWOehIlnZsrzft/view?usp=drivesdk" TargetMode="External"/><Relationship Id="rId271" Type="http://schemas.openxmlformats.org/officeDocument/2006/relationships/hyperlink" Target="https://www.airbnb.com/hosting/listings/editor/1402764257844697363/details/photo-tour" TargetMode="External"/><Relationship Id="rId270" Type="http://schemas.openxmlformats.org/officeDocument/2006/relationships/hyperlink" Target="https://drive.google.com/file/d/1kyMDUOR4tREiuynG4mYaJEwgBxda6nEz/view?usp=drive_link" TargetMode="External"/><Relationship Id="rId390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www.airbnb.com/hosting/listings/editor/945834952396512415/details/photo-tour" TargetMode="External"/><Relationship Id="rId3" Type="http://schemas.openxmlformats.org/officeDocument/2006/relationships/hyperlink" Target="https://admin.booking.com/hotel/hoteladmin/extranet_ng/manage/home.html?hotel_id=10615412&amp;ses=76a12ded010144b8d35db3bc8a9efcb3&amp;lang=xu&amp;hotel_account_id=15487701" TargetMode="External"/><Relationship Id="rId149" Type="http://schemas.openxmlformats.org/officeDocument/2006/relationships/hyperlink" Target="https://ycs.agoda.com/mldc/en-us/app/reporting/dashboard/68515787" TargetMode="External"/><Relationship Id="rId4" Type="http://schemas.openxmlformats.org/officeDocument/2006/relationships/hyperlink" Target="https://www.agoda.com/p-fantastic-2br-option-for-8/hotel/iloilo-ph.html?hotel_id=45261293&amp;ds=GKoFmbWoznfkzC0v" TargetMode="External"/><Relationship Id="rId148" Type="http://schemas.openxmlformats.org/officeDocument/2006/relationships/hyperlink" Target="https://admin.booking.com/hotel/hoteladmin/extranet_ng/manage/home.html?ses=76a12ded010144b8d35db3bc8a9efcb3&amp;lang=xu&amp;hotel_id=12701525&amp;hotel_account_id=15487701" TargetMode="External"/><Relationship Id="rId269" Type="http://schemas.openxmlformats.org/officeDocument/2006/relationships/hyperlink" Target="https://admin.booking.com/hotel/hoteladmin/extranet_ng/manage/home.html?hotel_id=14156698&amp;hotel_account_id=15487701&amp;lang=xu&amp;ses=76a12ded010144b8d35db3bc8a9efcb3" TargetMode="External"/><Relationship Id="rId9" Type="http://schemas.openxmlformats.org/officeDocument/2006/relationships/hyperlink" Target="https://admin.booking.com/hotel/hoteladmin/extranet_ng/manage/home.html?hotel_account_id=15487701&amp;lang=xu&amp;hotel_id=12367868&amp;ses=76a12ded010144b8d35db3bc8a9efcb3" TargetMode="External"/><Relationship Id="rId143" Type="http://schemas.openxmlformats.org/officeDocument/2006/relationships/hyperlink" Target="https://www.airbnb.com/hosting/listings/editor/1225646896633266274/details/photo-tour" TargetMode="External"/><Relationship Id="rId264" Type="http://schemas.openxmlformats.org/officeDocument/2006/relationships/hyperlink" Target="https://admin.booking.com/hotel/hoteladmin/extranet_ng/manage/home.html?hotel_account_id=15487701&amp;lang=xu&amp;ses=76a12ded010144b8d35db3bc8a9efcb3&amp;hotel_id=12608333" TargetMode="External"/><Relationship Id="rId385" Type="http://schemas.openxmlformats.org/officeDocument/2006/relationships/hyperlink" Target="https://drive.google.com/file/d/17IFWebBwS3wI6ITSlYHrm8lbt7TY9Jip/view?usp=drive_link" TargetMode="External"/><Relationship Id="rId142" Type="http://schemas.openxmlformats.org/officeDocument/2006/relationships/hyperlink" Target="https://drive.google.com/file/d/1FV3fJpZs7jtE-Z3jE24gxXefMU5LFWl6/view?usp=drive_link" TargetMode="External"/><Relationship Id="rId263" Type="http://schemas.openxmlformats.org/officeDocument/2006/relationships/hyperlink" Target="https://www.airbnb.com/hosting/listings/editor/1196985863709001525/details/photo-tour" TargetMode="External"/><Relationship Id="rId384" Type="http://schemas.openxmlformats.org/officeDocument/2006/relationships/hyperlink" Target="https://ycs.agoda.com/mldc/en-us/app/reporting/dashboard/55811589" TargetMode="External"/><Relationship Id="rId141" Type="http://schemas.openxmlformats.org/officeDocument/2006/relationships/hyperlink" Target="https://ycs.agoda.com/mldc/en-us/app/reporting/dashboard/68515708" TargetMode="External"/><Relationship Id="rId262" Type="http://schemas.openxmlformats.org/officeDocument/2006/relationships/hyperlink" Target="https://admin.booking.com/hotel/hoteladmin/extranet_ng/manage/home.html?hotel_account_id=15487701&amp;lang=xu&amp;hotel_id=13043345&amp;ses=077f0355f225198545ac0c6aeb1f1df5" TargetMode="External"/><Relationship Id="rId383" Type="http://schemas.openxmlformats.org/officeDocument/2006/relationships/hyperlink" Target="https://admin.booking.com/hotel/hoteladmin/extranet_ng/manage/home.html?hotel_account_id=15487701&amp;hotel_id=12062967&amp;lang=xu&amp;ses=76a12ded010144b8d35db3bc8a9efcb3" TargetMode="External"/><Relationship Id="rId140" Type="http://schemas.openxmlformats.org/officeDocument/2006/relationships/hyperlink" Target="https://admin.booking.com/hotel/hoteladmin/extranet_ng/manage/home.html?hotel_account_id=15487701&amp;hotel_id=13619444&amp;lang=xu&amp;ses=077f0355f225198545ac0c6aeb1f1df5" TargetMode="External"/><Relationship Id="rId261" Type="http://schemas.openxmlformats.org/officeDocument/2006/relationships/hyperlink" Target="https://www.airbnb.com/hosting/listings/editor/1276643106845637853/details/photo-tour" TargetMode="External"/><Relationship Id="rId382" Type="http://schemas.openxmlformats.org/officeDocument/2006/relationships/hyperlink" Target="https://www.airbnb.com/hosting/listings/editor/1150615852129280372/view-your-space" TargetMode="External"/><Relationship Id="rId5" Type="http://schemas.openxmlformats.org/officeDocument/2006/relationships/hyperlink" Target="https://www.airbnb.com/hosting/listings/editor/979674084348572304/details/photo-tour" TargetMode="External"/><Relationship Id="rId147" Type="http://schemas.openxmlformats.org/officeDocument/2006/relationships/hyperlink" Target="https://www.airbnb.com/hosting/listings/editor/1218744809755765369/details/photo-tour" TargetMode="External"/><Relationship Id="rId268" Type="http://schemas.openxmlformats.org/officeDocument/2006/relationships/hyperlink" Target="https://www.airbnb.com/hosting/listings/editor/1392300803148588195/details/photo-tour" TargetMode="External"/><Relationship Id="rId389" Type="http://schemas.openxmlformats.org/officeDocument/2006/relationships/drawing" Target="../drawings/drawing1.xml"/><Relationship Id="rId6" Type="http://schemas.openxmlformats.org/officeDocument/2006/relationships/hyperlink" Target="https://admin.booking.com/hotel/hoteladmin/extranet_ng/manage/home.html?hotel_account_id=15487701&amp;ses=76a12ded010144b8d35db3bc8a9efcb3&amp;lang=xu&amp;hotel_id=10769957" TargetMode="External"/><Relationship Id="rId146" Type="http://schemas.openxmlformats.org/officeDocument/2006/relationships/hyperlink" Target="https://drive.google.com/file/d/1qcZJJMx0dsMVlSXHEjE1mull1oO9HqJN/view?usp=drive_link" TargetMode="External"/><Relationship Id="rId267" Type="http://schemas.openxmlformats.org/officeDocument/2006/relationships/hyperlink" Target="https://drive.google.com/file/d/1RFfjPOi4Sr8fFZWAbhEHDe75SZkWAkoO/view?usp=drive_link" TargetMode="External"/><Relationship Id="rId388" Type="http://schemas.openxmlformats.org/officeDocument/2006/relationships/hyperlink" Target="https://ycs.agoda.com/mldc/en-us/app/reporting/dashboard/55824457" TargetMode="External"/><Relationship Id="rId7" Type="http://schemas.openxmlformats.org/officeDocument/2006/relationships/hyperlink" Target="https://ycs.agoda.com/mldc/en-us/app/reporting/dashboard/45915862" TargetMode="External"/><Relationship Id="rId145" Type="http://schemas.openxmlformats.org/officeDocument/2006/relationships/hyperlink" Target="https://ycs.agoda.com/mldc/en-us/app/reporting/dashboard/68515781" TargetMode="External"/><Relationship Id="rId266" Type="http://schemas.openxmlformats.org/officeDocument/2006/relationships/hyperlink" Target="https://admin.booking.com/hotel/hoteladmin/extranet_ng/manage/home.html?ses=077f0355f225198545ac0c6aeb1f1df5&amp;hotel_account_id=15487701&amp;hotel_id=13618873&amp;lang=xu" TargetMode="External"/><Relationship Id="rId387" Type="http://schemas.openxmlformats.org/officeDocument/2006/relationships/hyperlink" Target="https://admin.booking.com/hotel/hoteladmin/extranet_ng/manage/home.html?hotel_id=12080095&amp;hotel_account_id=15487701&amp;ses=76a12ded010144b8d35db3bc8a9efcb3&amp;lang=xu" TargetMode="External"/><Relationship Id="rId8" Type="http://schemas.openxmlformats.org/officeDocument/2006/relationships/hyperlink" Target="https://www.airbnb.com/hosting/listings/editor/1188180729327394587/details/photo-tour" TargetMode="External"/><Relationship Id="rId144" Type="http://schemas.openxmlformats.org/officeDocument/2006/relationships/hyperlink" Target="https://admin.booking.com/hotel/hoteladmin/extranet_ng/manage/home.html?hotel_account_id=15487701&amp;ses=76a12ded010144b8d35db3bc8a9efcb3&amp;hotel_id=12760132&amp;lang=xu" TargetMode="External"/><Relationship Id="rId265" Type="http://schemas.openxmlformats.org/officeDocument/2006/relationships/hyperlink" Target="https://www.airbnb.com/hosting/listings/editor/1317901007277850017/details/photo-tour" TargetMode="External"/><Relationship Id="rId386" Type="http://schemas.openxmlformats.org/officeDocument/2006/relationships/hyperlink" Target="https://www.airbnb.com/hosting/listings/editor/1157147347991671024/details/photo-tour" TargetMode="External"/><Relationship Id="rId260" Type="http://schemas.openxmlformats.org/officeDocument/2006/relationships/hyperlink" Target="https://drive.google.com/file/d/1e5ujgK17WNW8e1aHKYuFs8XMRAtHTg4v/view?usp=drive_link" TargetMode="External"/><Relationship Id="rId381" Type="http://schemas.openxmlformats.org/officeDocument/2006/relationships/hyperlink" Target="https://drive.google.com/file/d/1-3RyIro5Xr7PyvpjtpCUjGqIpnIvEA1D/view?usp=drive_link" TargetMode="External"/><Relationship Id="rId380" Type="http://schemas.openxmlformats.org/officeDocument/2006/relationships/hyperlink" Target="https://admin.booking.com/hotel/hoteladmin/extranet_ng/manage/home.html?hotel_account_id=15487701&amp;lang=xu&amp;hotel_id=12859651&amp;ses=077f0355f225198545ac0c6aeb1f1df5" TargetMode="External"/><Relationship Id="rId139" Type="http://schemas.openxmlformats.org/officeDocument/2006/relationships/hyperlink" Target="https://www.airbnb.com/hosting/listings/editor/1340272984387622207/details/photo-tour" TargetMode="External"/><Relationship Id="rId138" Type="http://schemas.openxmlformats.org/officeDocument/2006/relationships/hyperlink" Target="https://drive.google.com/file/d/1T0cV6yAkJ-kyFTzmUnqnQI69ylDPUvUU/view?usp=drive_link" TargetMode="External"/><Relationship Id="rId259" Type="http://schemas.openxmlformats.org/officeDocument/2006/relationships/hyperlink" Target="https://www.airbnb.com/hosting/listings/editor/1287196269218115688/details/photo-tour" TargetMode="External"/><Relationship Id="rId137" Type="http://schemas.openxmlformats.org/officeDocument/2006/relationships/hyperlink" Target="https://ycs.agoda.com/mldc/en-us/app/reporting/dashboard/68515699" TargetMode="External"/><Relationship Id="rId258" Type="http://schemas.openxmlformats.org/officeDocument/2006/relationships/hyperlink" Target="https://drive.google.com/file/d/1DDM7azhInt3MWhmL36Yi17E0vk406x19/view?usp=drive_link" TargetMode="External"/><Relationship Id="rId379" Type="http://schemas.openxmlformats.org/officeDocument/2006/relationships/hyperlink" Target="https://www.airbnb.com/hosting/listings/editor/1249813358201175201/details/photo-tour" TargetMode="External"/><Relationship Id="rId132" Type="http://schemas.openxmlformats.org/officeDocument/2006/relationships/hyperlink" Target="https://admin.booking.com/hotel/hoteladmin/extranet_ng/manage/home.html?ses=76a12ded010144b8d35db3bc8a9efcb3&amp;lang=xu&amp;hotel_account_id=15487701&amp;hotel_id=13734112" TargetMode="External"/><Relationship Id="rId253" Type="http://schemas.openxmlformats.org/officeDocument/2006/relationships/hyperlink" Target="https://admin.booking.com/hotel/hoteladmin/extranet_ng/manage/home.html?ses=76a12ded010144b8d35db3bc8a9efcb3&amp;hotel_account_id=15487701&amp;lang=xu&amp;hotel_id=12694593" TargetMode="External"/><Relationship Id="rId374" Type="http://schemas.openxmlformats.org/officeDocument/2006/relationships/hyperlink" Target="https://www.agoda.com/l2-budget-friendly-studio/hotel/iloilo-ph.html?hotel_id=55833997&amp;ds=GKoFmbWoznfkzC0v" TargetMode="External"/><Relationship Id="rId131" Type="http://schemas.openxmlformats.org/officeDocument/2006/relationships/hyperlink" Target="https://www.airbnb.com/hosting/listings/editor/1365140752338951002/details/photo-tour" TargetMode="External"/><Relationship Id="rId252" Type="http://schemas.openxmlformats.org/officeDocument/2006/relationships/hyperlink" Target="https://www.airbnb.com/hosting/listings/editor/1221436198740863739/details/photo-tour" TargetMode="External"/><Relationship Id="rId373" Type="http://schemas.openxmlformats.org/officeDocument/2006/relationships/hyperlink" Target="https://admin.booking.com/hotel/hoteladmin/extranet_ng/manage/home.html?hotel_account_id=15487701&amp;ses=76a12ded010144b8d35db3bc8a9efcb3&amp;lang=xu&amp;hotel_id=11764971" TargetMode="External"/><Relationship Id="rId130" Type="http://schemas.openxmlformats.org/officeDocument/2006/relationships/hyperlink" Target="https://drive.google.com/file/d/1mdSNqtNyXrxRw_WqUTNOHHKxR6mNYFEh/view?usp=drive_link" TargetMode="External"/><Relationship Id="rId251" Type="http://schemas.openxmlformats.org/officeDocument/2006/relationships/hyperlink" Target="https://drive.google.com/file/d/1SwoBfXRn_7LUHZaF9SIdiT7XSEzeLMVT/view?usp=drive_link" TargetMode="External"/><Relationship Id="rId372" Type="http://schemas.openxmlformats.org/officeDocument/2006/relationships/hyperlink" Target="https://www.airbnb.com/hosting/listings/editor/1117630859088411220/details/photo-tour" TargetMode="External"/><Relationship Id="rId250" Type="http://schemas.openxmlformats.org/officeDocument/2006/relationships/hyperlink" Target="http://admin.booking.com/hotel/hoteladmin/extranet_ng/manage/home.html?ses=76a12ded010144b8d35db3bc8a9efcb3&amp;hotel_id=14121652&amp;lang=xu&amp;hotel_account_id=15487701" TargetMode="External"/><Relationship Id="rId371" Type="http://schemas.openxmlformats.org/officeDocument/2006/relationships/hyperlink" Target="https://www.airbnb.com/hosting/listings/editor/862831708390411956/details/photo-tour" TargetMode="External"/><Relationship Id="rId136" Type="http://schemas.openxmlformats.org/officeDocument/2006/relationships/hyperlink" Target="https://admin.booking.com/hotel/hoteladmin/extranet_ng/manage/home.html?hotel_id=14160257&amp;lang=xu&amp;hotel_account_id=15487701&amp;ses=76a12ded010144b8d35db3bc8a9efcb3" TargetMode="External"/><Relationship Id="rId257" Type="http://schemas.openxmlformats.org/officeDocument/2006/relationships/hyperlink" Target="https://admin.booking.com/hotel/hoteladmin/extranet_ng/manage/home.html?lang=xu&amp;hotel_id=13733887&amp;ses=077f0355f225198545ac0c6aeb1f1df5&amp;hotel_account_id=15487701" TargetMode="External"/><Relationship Id="rId378" Type="http://schemas.openxmlformats.org/officeDocument/2006/relationships/hyperlink" Target="https://ycs.agoda.com/mldc/en-us/app/reporting/dashboard/68515698" TargetMode="External"/><Relationship Id="rId135" Type="http://schemas.openxmlformats.org/officeDocument/2006/relationships/hyperlink" Target="https://www.airbnb.com/hosting/listings/editor/1373599968303357330/details/photo-tour" TargetMode="External"/><Relationship Id="rId256" Type="http://schemas.openxmlformats.org/officeDocument/2006/relationships/hyperlink" Target="https://www.airbnb.com/hosting/listings/editor/1361839742680517161/details/photo-tour" TargetMode="External"/><Relationship Id="rId377" Type="http://schemas.openxmlformats.org/officeDocument/2006/relationships/hyperlink" Target="https://admin.booking.com/hotel/hoteladmin/extranet_ng/manage/home.html?hotel_id=14164771&amp;ses=76a12ded010144b8d35db3bc8a9efcb3&amp;lang=xu&amp;hotel_account_id=15487701" TargetMode="External"/><Relationship Id="rId134" Type="http://schemas.openxmlformats.org/officeDocument/2006/relationships/hyperlink" Target="https://drive.google.com/file/d/1UjrDg3i6gtgAZO1HRnq5nvWBPTIkjibL/view?usp=drive_link" TargetMode="External"/><Relationship Id="rId255" Type="http://schemas.openxmlformats.org/officeDocument/2006/relationships/hyperlink" Target="https://admin.booking.com/hotel/hoteladmin/extranet_ng/manage/home.html?lang=xu&amp;hotel_id=13619062&amp;hotel_account_id=15487701&amp;ses=077f0355f225198545ac0c6aeb1f1df5" TargetMode="External"/><Relationship Id="rId376" Type="http://schemas.openxmlformats.org/officeDocument/2006/relationships/hyperlink" Target="https://www.airbnb.com/hosting/listings/editor/1373910226488380974/details/photo-tour" TargetMode="External"/><Relationship Id="rId133" Type="http://schemas.openxmlformats.org/officeDocument/2006/relationships/hyperlink" Target="https://ycs.agoda.com/mldc/en-us/app/reporting/dashboard/72422191" TargetMode="External"/><Relationship Id="rId254" Type="http://schemas.openxmlformats.org/officeDocument/2006/relationships/hyperlink" Target="https://www.airbnb.com/hosting/listings/editor/1354835232584889033/details/photo-tour" TargetMode="External"/><Relationship Id="rId375" Type="http://schemas.openxmlformats.org/officeDocument/2006/relationships/hyperlink" Target="https://drive.google.com/file/d/1lmuefpcYTtJU05QT_jYjfJc_0JCQFfTt/view?usp=drive_link" TargetMode="External"/><Relationship Id="rId172" Type="http://schemas.openxmlformats.org/officeDocument/2006/relationships/hyperlink" Target="https://www.airbnb.com/hosting/listings/editor/1241893393113477516/view-your-space" TargetMode="External"/><Relationship Id="rId293" Type="http://schemas.openxmlformats.org/officeDocument/2006/relationships/hyperlink" Target="https://admin.booking.com/hotel/hoteladmin/extranet_ng/manage/home.html?hotel_id=13001407&amp;hotel_account_id=15487701&amp;lang=xu&amp;ses=76a12ded010144b8d35db3bc8a9efcb3" TargetMode="External"/><Relationship Id="rId171" Type="http://schemas.openxmlformats.org/officeDocument/2006/relationships/hyperlink" Target="https://drive.google.com/file/d/1vzrZzoAQXb6-iBtvp2aQxS2o6aCPcc-p/view?usp=drive_link" TargetMode="External"/><Relationship Id="rId292" Type="http://schemas.openxmlformats.org/officeDocument/2006/relationships/hyperlink" Target="https://www.airbnb.com/hosting/listings/editor/1235416807560327799/details/photo-tour" TargetMode="External"/><Relationship Id="rId170" Type="http://schemas.openxmlformats.org/officeDocument/2006/relationships/hyperlink" Target="https://ycs.agoda.com/mldc/en-us/app/reporting/dashboard/57157972" TargetMode="External"/><Relationship Id="rId291" Type="http://schemas.openxmlformats.org/officeDocument/2006/relationships/hyperlink" Target="https://ycs.agoda.com/mldc/en-us/app/reporting/dashboard/59122983" TargetMode="External"/><Relationship Id="rId290" Type="http://schemas.openxmlformats.org/officeDocument/2006/relationships/hyperlink" Target="https://admin.booking.com/hotel/hoteladmin/extranet_ng/manage/home.html?hotel_id=12427860&amp;ses=76a12ded010144b8d35db3bc8a9efcb3&amp;lang=xu&amp;hotel_account_id=15487701" TargetMode="External"/><Relationship Id="rId165" Type="http://schemas.openxmlformats.org/officeDocument/2006/relationships/hyperlink" Target="https://admin.booking.com/hotel/hoteladmin/extranet_ng/manage/home.html?ses=76a12ded010144b8d35db3bc8a9efcb3&amp;hotel_id=13379103&amp;lang=xu&amp;hotel_account_id=15487701" TargetMode="External"/><Relationship Id="rId286" Type="http://schemas.openxmlformats.org/officeDocument/2006/relationships/hyperlink" Target="https://ycs.agoda.com/mldc/en-us/app/reporting/dashboard/68515788" TargetMode="External"/><Relationship Id="rId164" Type="http://schemas.openxmlformats.org/officeDocument/2006/relationships/hyperlink" Target="https://www.airbnb.com/hosting/listings/editor/1307970504301434140/details/photo-tour" TargetMode="External"/><Relationship Id="rId285" Type="http://schemas.openxmlformats.org/officeDocument/2006/relationships/hyperlink" Target="https://admin.booking.com/hotel/hoteladmin/extranet_ng/manage/home.html?ses=76a12ded010144b8d35db3bc8a9efcb3&amp;lang=xu&amp;hotel_id=12637421&amp;hotel_account_id=15487701" TargetMode="External"/><Relationship Id="rId163" Type="http://schemas.openxmlformats.org/officeDocument/2006/relationships/hyperlink" Target="https://drive.google.com/file/d/1fsjJJzcmC9jQCAkXHpFyZk2pNTVQWljt/view?usp=drive_link" TargetMode="External"/><Relationship Id="rId284" Type="http://schemas.openxmlformats.org/officeDocument/2006/relationships/hyperlink" Target="https://www.airbnb.com/hosting/listings/editor/1213621469535606192/details/photo-tour" TargetMode="External"/><Relationship Id="rId162" Type="http://schemas.openxmlformats.org/officeDocument/2006/relationships/hyperlink" Target="https://ycs.agoda.com/mldc/en-us/app/reporting/dashboard/55800113" TargetMode="External"/><Relationship Id="rId283" Type="http://schemas.openxmlformats.org/officeDocument/2006/relationships/hyperlink" Target="https://drive.google.com/file/d/1B-UTNRAz5D3jblTBjQEGxxammYoVYpo5/view?usp=drive_link" TargetMode="External"/><Relationship Id="rId169" Type="http://schemas.openxmlformats.org/officeDocument/2006/relationships/hyperlink" Target="https://admin.booking.com/hotel/hoteladmin/extranet_ng/manage/home.html?lang=xu&amp;hotel_id=12220647&amp;hotel_account_id=15487701&amp;ses=76a12ded010144b8d35db3bc8a9efcb3" TargetMode="External"/><Relationship Id="rId168" Type="http://schemas.openxmlformats.org/officeDocument/2006/relationships/hyperlink" Target="https://www.airbnb.com/hosting/listings/editor/1171606286728188741/details/photo-tour" TargetMode="External"/><Relationship Id="rId289" Type="http://schemas.openxmlformats.org/officeDocument/2006/relationships/hyperlink" Target="https://www.airbnb.com/hosting/listings/editor/1194043489262665886/details/photo-tour" TargetMode="External"/><Relationship Id="rId167" Type="http://schemas.openxmlformats.org/officeDocument/2006/relationships/hyperlink" Target="https://drive.google.com/file/d/1ONET41rq_i_ppffEnSvqpimzVL1Hv_6h/view?usp=drive_link" TargetMode="External"/><Relationship Id="rId288" Type="http://schemas.openxmlformats.org/officeDocument/2006/relationships/hyperlink" Target="https://drive.google.com/file/d/16P3GhHp7diNJCy1gcPeLDEYaiobxvp6r/view?usp=drive_link" TargetMode="External"/><Relationship Id="rId166" Type="http://schemas.openxmlformats.org/officeDocument/2006/relationships/hyperlink" Target="https://ycs.agoda.com/mldc/en-us/app/reporting/dashboard/68515731" TargetMode="External"/><Relationship Id="rId287" Type="http://schemas.openxmlformats.org/officeDocument/2006/relationships/hyperlink" Target="https://drive.google.com/file/d/1kUc1D5LLGgFWExZQUth0hIlPVNQkVZL3/view?usp=drive_link" TargetMode="External"/><Relationship Id="rId161" Type="http://schemas.openxmlformats.org/officeDocument/2006/relationships/hyperlink" Target="https://admin.booking.com/hotel/hoteladmin/extranet_ng/manage/home.html?hotel_account_id=15487701&amp;ses=f4a0b0f7cce51e99ab01df583876df33&amp;lang=xu&amp;hotel_id=11063899" TargetMode="External"/><Relationship Id="rId282" Type="http://schemas.openxmlformats.org/officeDocument/2006/relationships/hyperlink" Target="https://ycs.agoda.com/mldc/en-us/app/reporting/dashboard/74596383" TargetMode="External"/><Relationship Id="rId160" Type="http://schemas.openxmlformats.org/officeDocument/2006/relationships/hyperlink" Target="https://www.airbnb.com/hosting/listings/editor/1015549603067495092/view-your-space" TargetMode="External"/><Relationship Id="rId281" Type="http://schemas.openxmlformats.org/officeDocument/2006/relationships/hyperlink" Target="https://admin.booking.com/hotel/hoteladmin/extranet_ng/manage/home.html?hotel_id=14253399&amp;lang=xu&amp;hotel_account_id=15487701&amp;ses=76a12ded010144b8d35db3bc8a9efcb3" TargetMode="External"/><Relationship Id="rId280" Type="http://schemas.openxmlformats.org/officeDocument/2006/relationships/hyperlink" Target="https://www.airbnb.com/hosting/listings/editor/1429517940296906898/view-your-space" TargetMode="External"/><Relationship Id="rId159" Type="http://schemas.openxmlformats.org/officeDocument/2006/relationships/hyperlink" Target="https://ycs.agoda.com/mldc/en-us/app/reporting/dashboard/68515715" TargetMode="External"/><Relationship Id="rId154" Type="http://schemas.openxmlformats.org/officeDocument/2006/relationships/hyperlink" Target="https://admin.booking.com/hotel/hoteladmin/extranet_ng/manage/home.html?hotel_account_id=15487701&amp;hotel_id=11064010&amp;ses=76a12ded010144b8d35db3bc8a9efcb3&amp;lang=xu" TargetMode="External"/><Relationship Id="rId275" Type="http://schemas.openxmlformats.org/officeDocument/2006/relationships/hyperlink" Target="https://admin.booking.com/hotel/hoteladmin/extranet_ng/manage/home.html?ses=077f0355f225198545ac0c6aeb1f1df5&amp;hotel_account_id=15487701&amp;lang=xu&amp;hotel_id=13044234" TargetMode="External"/><Relationship Id="rId153" Type="http://schemas.openxmlformats.org/officeDocument/2006/relationships/hyperlink" Target="https://www.airbnb.com/hosting/listings/editor/1023086036913739808/details/photo-tour" TargetMode="External"/><Relationship Id="rId274" Type="http://schemas.openxmlformats.org/officeDocument/2006/relationships/hyperlink" Target="https://www.airbnb.com/hosting/listings/editor/1281754996657487774/details/photo-tour" TargetMode="External"/><Relationship Id="rId152" Type="http://schemas.openxmlformats.org/officeDocument/2006/relationships/hyperlink" Target="https://www.airbnb.com/rooms/1459995513875524244?" TargetMode="External"/><Relationship Id="rId273" Type="http://schemas.openxmlformats.org/officeDocument/2006/relationships/hyperlink" Target="https://drive.google.com/file/d/19Vohd59ne0eAosoJOlsEj9_PVJ3ZVkcA/view?usp=drive_link" TargetMode="External"/><Relationship Id="rId151" Type="http://schemas.openxmlformats.org/officeDocument/2006/relationships/hyperlink" Target="https://drive.google.com/file/d/1zpOFIewOz4SntgbsTqTexowZH8QqJ-tJ/view?usp=drivesdk" TargetMode="External"/><Relationship Id="rId272" Type="http://schemas.openxmlformats.org/officeDocument/2006/relationships/hyperlink" Target="https://admin.booking.com/hotel/hoteladmin/extranet_ng/manage/home.html?lang=xu&amp;hotel_id=14005541&amp;ses=077f0355f225198545ac0c6aeb1f1df5&amp;hotel_account_id=15487701" TargetMode="External"/><Relationship Id="rId158" Type="http://schemas.openxmlformats.org/officeDocument/2006/relationships/hyperlink" Target="https://admin.booking.com/hotel/hoteladmin/extranet_ng/manage/home.html?hotel_id=13606337&amp;ses=76a12ded010144b8d35db3bc8a9efcb3&amp;lang=xu&amp;hotel_account_id=15487701" TargetMode="External"/><Relationship Id="rId279" Type="http://schemas.openxmlformats.org/officeDocument/2006/relationships/hyperlink" Target="https://drive.google.com/file/d/1Z4_v8egXBiC_OK_J-I79lLXUEn3-403j/view?usp=drive_link" TargetMode="External"/><Relationship Id="rId157" Type="http://schemas.openxmlformats.org/officeDocument/2006/relationships/hyperlink" Target="https://www.airbnb.com/hosting/listings/editor/1339757086566430260/details/photo-tour" TargetMode="External"/><Relationship Id="rId278" Type="http://schemas.openxmlformats.org/officeDocument/2006/relationships/hyperlink" Target="https://admin.booking.com/hotel/hoteladmin/extranet_ng/manage/home.html?hotel_account_id=15487701&amp;hotel_id=14005465&amp;lang=xu&amp;ses=077f0355f225198545ac0c6aeb1f1df5" TargetMode="External"/><Relationship Id="rId156" Type="http://schemas.openxmlformats.org/officeDocument/2006/relationships/hyperlink" Target="https://drive.google.com/file/d/1MZ0UuJt16RWA_0Ip-SPjmvtexgU3uu69/view?usp=drive_link" TargetMode="External"/><Relationship Id="rId277" Type="http://schemas.openxmlformats.org/officeDocument/2006/relationships/hyperlink" Target="https://www.airbnb.com/hosting/listings/editor/1399874193837021918/details/photo-tour" TargetMode="External"/><Relationship Id="rId155" Type="http://schemas.openxmlformats.org/officeDocument/2006/relationships/hyperlink" Target="https://ycs.agoda.com/mldc/en-us/app/reporting/dashboard/55811046" TargetMode="External"/><Relationship Id="rId276" Type="http://schemas.openxmlformats.org/officeDocument/2006/relationships/hyperlink" Target="https://drive.google.com/file/d/1enK-gpV9ToiDuM0un65G03QOVfuyDwGI/view?usp=drive_link" TargetMode="External"/><Relationship Id="rId40" Type="http://schemas.openxmlformats.org/officeDocument/2006/relationships/hyperlink" Target="https://admin.booking.com/hotel/hoteladmin/extranet_ng/manage/home.html?hotel_account_id=15487701&amp;hotel_id=12810552&amp;ses=76a12ded010144b8d35db3bc8a9efcb3&amp;lang=xu" TargetMode="External"/><Relationship Id="rId42" Type="http://schemas.openxmlformats.org/officeDocument/2006/relationships/hyperlink" Target="https://drive.google.com/file/d/1_AUmysC6p7dzVoswyS_YSioR-qSe6hZd/view?usp=drive_link" TargetMode="External"/><Relationship Id="rId41" Type="http://schemas.openxmlformats.org/officeDocument/2006/relationships/hyperlink" Target="https://www.agoda.com/v2-relaxing-studio-escape/hotel/iloilo-ph.html?hotel_id=68515785&amp;ds=Pqpv9ubB85m68Ltp" TargetMode="External"/><Relationship Id="rId44" Type="http://schemas.openxmlformats.org/officeDocument/2006/relationships/hyperlink" Target="https://admin.booking.com/hotel/hoteladmin/extranet_ng/manage/home.html?hotel_account_id=15487701&amp;ses=76a12ded010144b8d35db3bc8a9efcb3&amp;lang=xu&amp;hotel_id=12527718" TargetMode="External"/><Relationship Id="rId43" Type="http://schemas.openxmlformats.org/officeDocument/2006/relationships/hyperlink" Target="https://www.airbnb.com/hosting/listings/editor/1206832186178500110/details/photo-tour" TargetMode="External"/><Relationship Id="rId46" Type="http://schemas.openxmlformats.org/officeDocument/2006/relationships/hyperlink" Target="https://www.airbnb.com/hosting/listings/editor/985317616932092879/details/photo-tour" TargetMode="External"/><Relationship Id="rId45" Type="http://schemas.openxmlformats.org/officeDocument/2006/relationships/hyperlink" Target="https://www.agoda.com/u2-spacious-1br-retreat/hotel/iloilo-ph.html?hotel_id=68515790&amp;ds=Pqpv9ubB85m68Ltp" TargetMode="External"/><Relationship Id="rId48" Type="http://schemas.openxmlformats.org/officeDocument/2006/relationships/hyperlink" Target="https://ycs.agoda.com/mldc/en-us/app/reporting/dashboard/46174533" TargetMode="External"/><Relationship Id="rId47" Type="http://schemas.openxmlformats.org/officeDocument/2006/relationships/hyperlink" Target="https://admin.booking.com/hotel/hoteladmin/extranet_ng/manage/home.html?lang=xu&amp;ses=76a12ded010144b8d35db3bc8a9efcb3&amp;hotel_id=10810323&amp;hotel_account_id=15487701" TargetMode="External"/><Relationship Id="rId49" Type="http://schemas.openxmlformats.org/officeDocument/2006/relationships/hyperlink" Target="https://www.airbnb.com/hosting/listings/editor/1081750751540071939/details/photo-tour" TargetMode="External"/><Relationship Id="rId31" Type="http://schemas.openxmlformats.org/officeDocument/2006/relationships/hyperlink" Target="https://www.agoda.com/d-tower-very-comfortable-room-for-3/hotel/iloilo-ph.html?hotel_id=38601196&amp;ds=gy6KwxanO%2BFyCBMp" TargetMode="External"/><Relationship Id="rId30" Type="http://schemas.openxmlformats.org/officeDocument/2006/relationships/hyperlink" Target="https://admin.booking.com/hotel/hoteladmin/extranet_ng/manage/home.html?lang=xu&amp;ses=76a12ded010144b8d35db3bc8a9efcb3&amp;hotel_id=9645898&amp;hotel_account_id=15487701" TargetMode="External"/><Relationship Id="rId33" Type="http://schemas.openxmlformats.org/officeDocument/2006/relationships/hyperlink" Target="https://admin.booking.com/hotel/hoteladmin/extranet_ng/manage/home.html?lang=xu&amp;ses=077f0355f225198545ac0c6aeb1f1df5&amp;hotel_id=13380197&amp;hotel_account_id=15487701" TargetMode="External"/><Relationship Id="rId32" Type="http://schemas.openxmlformats.org/officeDocument/2006/relationships/hyperlink" Target="https://www.airbnb.com/hosting/listings/editor/1314040400314629647/details/photo-tour" TargetMode="External"/><Relationship Id="rId35" Type="http://schemas.openxmlformats.org/officeDocument/2006/relationships/hyperlink" Target="https://drive.google.com/file/d/16pqQsmJ_bWgq3AiFSayFmskO9EMXpavT/view?usp=drive_link" TargetMode="External"/><Relationship Id="rId34" Type="http://schemas.openxmlformats.org/officeDocument/2006/relationships/hyperlink" Target="https://www.agoda.com/c3-elegant-2br-condo-with-pool-view/hotel/iloilo-ph.html?hotel_id=68515728&amp;ds=gy6KwxanO%2BFyCBMp" TargetMode="External"/><Relationship Id="rId37" Type="http://schemas.openxmlformats.org/officeDocument/2006/relationships/hyperlink" Target="https://admin.booking.com/hotel/hoteladmin/extranet_ng/manage/home.html?ses=077f0355f225198545ac0c6aeb1f1df5&amp;hotel_account_id=15487701&amp;lang=xu&amp;hotel_id=13363360" TargetMode="External"/><Relationship Id="rId36" Type="http://schemas.openxmlformats.org/officeDocument/2006/relationships/hyperlink" Target="https://www.airbnb.com/hosting/listings/editor/1287526033675205562/details/photo-tour" TargetMode="External"/><Relationship Id="rId39" Type="http://schemas.openxmlformats.org/officeDocument/2006/relationships/hyperlink" Target="https://www.airbnb.com/hosting/listings/editor/1223066482370679723/details/photo-tour" TargetMode="External"/><Relationship Id="rId38" Type="http://schemas.openxmlformats.org/officeDocument/2006/relationships/hyperlink" Target="https://ycs.agoda.com/mldc/en-us/app/reporting/dashboard/68515739" TargetMode="External"/><Relationship Id="rId20" Type="http://schemas.openxmlformats.org/officeDocument/2006/relationships/hyperlink" Target="https://www.airbnb.com/hosting/listings/editor/1105552259802640939/details/photo-tour" TargetMode="External"/><Relationship Id="rId22" Type="http://schemas.openxmlformats.org/officeDocument/2006/relationships/hyperlink" Target="https://www.agoda.com/k2-nordic-haven/hotel/iloilo-ph.html?hotel_id=55833982&amp;ds=GKoFmbWoznfkzC0v" TargetMode="External"/><Relationship Id="rId21" Type="http://schemas.openxmlformats.org/officeDocument/2006/relationships/hyperlink" Target="https://admin.booking.com/hotel/hoteladmin/extranet_ng/manage/home.html?hotel_account_id=15487701&amp;lang=xu&amp;hotel_id=11656730&amp;ses=76a12ded010144b8d35db3bc8a9efcb3" TargetMode="External"/><Relationship Id="rId24" Type="http://schemas.openxmlformats.org/officeDocument/2006/relationships/hyperlink" Target="https://admin.booking.com/hotel/hoteladmin/extranet_ng/manage/home.html?ses=76a12ded010144b8d35db3bc8a9efcb3&amp;lang=xu&amp;hotel_account_id=15487701&amp;hotel_id=10258279" TargetMode="External"/><Relationship Id="rId23" Type="http://schemas.openxmlformats.org/officeDocument/2006/relationships/hyperlink" Target="https://www.airbnb.com/hosting/listings/editor/912931240872844647/details/photo-tour" TargetMode="External"/><Relationship Id="rId26" Type="http://schemas.openxmlformats.org/officeDocument/2006/relationships/hyperlink" Target="https://www.airbnb.com/hosting/listings/editor/1191889874393267312/details/photo-tour" TargetMode="External"/><Relationship Id="rId25" Type="http://schemas.openxmlformats.org/officeDocument/2006/relationships/hyperlink" Target="https://drive.google.com/file/d/1RrPABjXPzJAFRcDQvuefzublr-2U4s8a/view?usp=drive_link" TargetMode="External"/><Relationship Id="rId28" Type="http://schemas.openxmlformats.org/officeDocument/2006/relationships/hyperlink" Target="https://ycs.agoda.com/mldc/en-us/app/reporting/dashboard/59123080" TargetMode="External"/><Relationship Id="rId27" Type="http://schemas.openxmlformats.org/officeDocument/2006/relationships/hyperlink" Target="https://admin.booking.com/hotel/hoteladmin/extranet_ng/manage/home.html?hotel_account_id=15487701&amp;hotel_id=12427766&amp;lang=xu&amp;ses=76a12ded010144b8d35db3bc8a9efcb3" TargetMode="External"/><Relationship Id="rId29" Type="http://schemas.openxmlformats.org/officeDocument/2006/relationships/hyperlink" Target="https://www.airbnb.com/hosting/listings/editor/830296351090858194/details/photo-tour" TargetMode="External"/><Relationship Id="rId11" Type="http://schemas.openxmlformats.org/officeDocument/2006/relationships/hyperlink" Target="https://www.airbnb.com/hosting/listings/editor/883078172823811193/details/photo-tour" TargetMode="External"/><Relationship Id="rId10" Type="http://schemas.openxmlformats.org/officeDocument/2006/relationships/hyperlink" Target="https://www.agoda.com/s2-chic-minimalist-escape/hotel/iloilo-ph.html?hotel_id=58971307&amp;ds=Pqpv9ubB85m68Ltp" TargetMode="External"/><Relationship Id="rId13" Type="http://schemas.openxmlformats.org/officeDocument/2006/relationships/hyperlink" Target="https://www.airbnb.com/hosting/listings/editor/1036582150593402952/details/photo-tour" TargetMode="External"/><Relationship Id="rId12" Type="http://schemas.openxmlformats.org/officeDocument/2006/relationships/hyperlink" Target="https://admin.booking.com/hotel/hoteladmin/extranet_ng/manage/home.html?hotel_account_id=15487701&amp;hotel_id=10012176&amp;ses=76a12ded010144b8d35db3bc8a9efcb3&amp;lang=xu" TargetMode="External"/><Relationship Id="rId15" Type="http://schemas.openxmlformats.org/officeDocument/2006/relationships/hyperlink" Target="https://ycs.agoda.com/mldc/en-us/app/reporting/dashboard/48825361" TargetMode="External"/><Relationship Id="rId14" Type="http://schemas.openxmlformats.org/officeDocument/2006/relationships/hyperlink" Target="https://admin.booking.com/hotel/hoteladmin/extranet_ng/manage/home.html?hotel_id=11160746&amp;hotel_account_id=15487701&amp;lang=xu&amp;ses=76a12ded010144b8d35db3bc8a9efcb3" TargetMode="External"/><Relationship Id="rId17" Type="http://schemas.openxmlformats.org/officeDocument/2006/relationships/hyperlink" Target="https://www.airbnb.com/hosting/listings/editor/1228154900469379026/details/photo-tour" TargetMode="External"/><Relationship Id="rId16" Type="http://schemas.openxmlformats.org/officeDocument/2006/relationships/hyperlink" Target="https://drive.google.com/file/d/1JWW9MiRwK_fs5gq3pIZzQS5iaz8PT4BF/view?usp=drive_link" TargetMode="External"/><Relationship Id="rId19" Type="http://schemas.openxmlformats.org/officeDocument/2006/relationships/hyperlink" Target="https://www.agoda.com/y2-pool-garden-bliss-h68515773/hotel/iloilo-ph.html?hotel_id=68515773&amp;ds=Pqpv9ubB85m68Ltp" TargetMode="External"/><Relationship Id="rId18" Type="http://schemas.openxmlformats.org/officeDocument/2006/relationships/hyperlink" Target="https://admin.booking.com/hotel/hoteladmin/extranet_ng/manage/home.html?ses=76a12ded010144b8d35db3bc8a9efcb3&amp;lang=xu&amp;hotel_account_id=15487701&amp;hotel_id=12826083" TargetMode="External"/><Relationship Id="rId84" Type="http://schemas.openxmlformats.org/officeDocument/2006/relationships/hyperlink" Target="https://admin.booking.com/hotel/hoteladmin/extranet_ng/manage/home.html?hotel_id=13375702&amp;hotel_account_id=15487701&amp;ses=077f0355f225198545ac0c6aeb1f1df5&amp;lang=xu" TargetMode="External"/><Relationship Id="rId83" Type="http://schemas.openxmlformats.org/officeDocument/2006/relationships/hyperlink" Target="https://www.airbnb.com/hosting/listings/editor/1293204330226635181/details/photo-tour" TargetMode="External"/><Relationship Id="rId86" Type="http://schemas.openxmlformats.org/officeDocument/2006/relationships/hyperlink" Target="https://www.airbnb.com/hosting/listings/editor/1228084659425799756/details/photo-tour" TargetMode="External"/><Relationship Id="rId85" Type="http://schemas.openxmlformats.org/officeDocument/2006/relationships/hyperlink" Target="https://www.agoda.com/b3-chic-sunset-studio-escape/hotel/iloilo-ph.html?hotel_id=68515735&amp;ds=gy6KwxanO%2BFyCBMp" TargetMode="External"/><Relationship Id="rId88" Type="http://schemas.openxmlformats.org/officeDocument/2006/relationships/hyperlink" Target="https://www.agoda.com/w2-cozy-urban-nest-h68515777/hotel/iloilo-ph.html?hotel_id=68515777&amp;ds=Pqpv9ubB85m68Ltp" TargetMode="External"/><Relationship Id="rId87" Type="http://schemas.openxmlformats.org/officeDocument/2006/relationships/hyperlink" Target="https://admin.booking.com/hotel/hoteladmin/extranet_ng/manage/home.html?ses=76a12ded010144b8d35db3bc8a9efcb3&amp;lang=xu&amp;hotel_id=12837148&amp;hotel_account_id=15487701" TargetMode="External"/><Relationship Id="rId89" Type="http://schemas.openxmlformats.org/officeDocument/2006/relationships/hyperlink" Target="https://www.airbnb.com/hosting/listings/editor/1228143697513677237/details/photo-tour" TargetMode="External"/><Relationship Id="rId80" Type="http://schemas.openxmlformats.org/officeDocument/2006/relationships/hyperlink" Target="https://admin.booking.com/hotel/hoteladmin/extranet_ng/manage/home.html?lang=xu&amp;hotel_account_id=15487701&amp;ses=76a12ded010144b8d35db3bc8a9efcb3&amp;hotel_id=11373986" TargetMode="External"/><Relationship Id="rId82" Type="http://schemas.openxmlformats.org/officeDocument/2006/relationships/hyperlink" Target="https://admin.booking.com/hotel/hoteladmin/extranet_ng/manage/home.html?hotel_account_id=15487701&amp;hotel_id=10123695&amp;lang=xu&amp;ses=76a12ded010144b8d35db3bc8a9efcb3" TargetMode="External"/><Relationship Id="rId81" Type="http://schemas.openxmlformats.org/officeDocument/2006/relationships/hyperlink" Target="https://www.airbnb.com/hosting/listings/editor/892593662896691657/details/photo-tour" TargetMode="External"/><Relationship Id="rId73" Type="http://schemas.openxmlformats.org/officeDocument/2006/relationships/hyperlink" Target="https://www.airbnb.com/hosting/listings/editor/1163637196200928374/details/photo-tour" TargetMode="External"/><Relationship Id="rId72" Type="http://schemas.openxmlformats.org/officeDocument/2006/relationships/hyperlink" Target="https://www.agoda.com/h2-modern-city-condo/hotel/iloilo-ph.html?hotel_id=55833898&amp;ds=GKoFmbWoznfkzC0v" TargetMode="External"/><Relationship Id="rId75" Type="http://schemas.openxmlformats.org/officeDocument/2006/relationships/hyperlink" Target="https://ycs.agoda.com/mldc/en-us/app/reporting/dashboard/57145791" TargetMode="External"/><Relationship Id="rId74" Type="http://schemas.openxmlformats.org/officeDocument/2006/relationships/hyperlink" Target="https://admin.booking.com/hotel/hoteladmin/extranet_ng/manage/home.html?hotel_account_id=15487701&amp;lang=xu&amp;hotel_id=12220522&amp;ses=76a12ded010144b8d35db3bc8a9efcb3" TargetMode="External"/><Relationship Id="rId77" Type="http://schemas.openxmlformats.org/officeDocument/2006/relationships/hyperlink" Target="https://admin.booking.com/hotel/hoteladmin/extranet_ng/manage/home.html?hotel_account_id=15487701&amp;hotel_id=10489878&amp;ses=76a12ded010144b8d35db3bc8a9efcb3&amp;lang=xu" TargetMode="External"/><Relationship Id="rId76" Type="http://schemas.openxmlformats.org/officeDocument/2006/relationships/hyperlink" Target="https://www.airbnb.com/hosting/listings/editor/940335667796803308/details/photo-tour" TargetMode="External"/><Relationship Id="rId79" Type="http://schemas.openxmlformats.org/officeDocument/2006/relationships/hyperlink" Target="https://www.airbnb.com/hosting/listings/editor/1061390588709926280/details/photo-tour" TargetMode="External"/><Relationship Id="rId78" Type="http://schemas.openxmlformats.org/officeDocument/2006/relationships/hyperlink" Target="https://ycs.agoda.com/mldc/en-us/app/reporting/dashboard/45242270" TargetMode="External"/><Relationship Id="rId71" Type="http://schemas.openxmlformats.org/officeDocument/2006/relationships/hyperlink" Target="https://admin.booking.com/hotel/hoteladmin/extranet_ng/manage/home.html?lang=xu&amp;ses=76a12ded010144b8d35db3bc8a9efcb3&amp;hotel_id=11649134&amp;hotel_account_id=15487701" TargetMode="External"/><Relationship Id="rId70" Type="http://schemas.openxmlformats.org/officeDocument/2006/relationships/hyperlink" Target="https://www.airbnb.com/hosting/listings/editor/1104748798156172790/details/photo-tour" TargetMode="External"/><Relationship Id="rId62" Type="http://schemas.openxmlformats.org/officeDocument/2006/relationships/hyperlink" Target="https://www.airbnb.com/hosting/listings/editor/945839410171367302/details/photo-tour" TargetMode="External"/><Relationship Id="rId61" Type="http://schemas.openxmlformats.org/officeDocument/2006/relationships/hyperlink" Target="https://ycs.agoda.com/mldc/en-us/app/reporting/dashboard/38601475" TargetMode="External"/><Relationship Id="rId64" Type="http://schemas.openxmlformats.org/officeDocument/2006/relationships/hyperlink" Target="https://ycs.agoda.com/mldc/en-us/app/reporting/dashboard/45781041" TargetMode="External"/><Relationship Id="rId63" Type="http://schemas.openxmlformats.org/officeDocument/2006/relationships/hyperlink" Target="https://admin.booking.com/hotel/hoteladmin/extranet_ng/manage/home.html?lang=xu&amp;ses=76a12ded010144b8d35db3bc8a9efcb3&amp;hotel_id=10538642&amp;hotel_account_id=15487701" TargetMode="External"/><Relationship Id="rId66" Type="http://schemas.openxmlformats.org/officeDocument/2006/relationships/hyperlink" Target="https://admin.booking.com/hotel/hoteladmin/extranet_ng/manage/home.html?hotel_id=10679956&amp;ses=76a12ded010144b8d35db3bc8a9efcb3&amp;hotel_account_id=15487701&amp;lang=xu" TargetMode="External"/><Relationship Id="rId65" Type="http://schemas.openxmlformats.org/officeDocument/2006/relationships/hyperlink" Target="https://www.airbnb.com/hosting/listings/editor/965722109687053772/details/photo-tour" TargetMode="External"/><Relationship Id="rId68" Type="http://schemas.openxmlformats.org/officeDocument/2006/relationships/hyperlink" Target="https://www.airbnb.com/hosting/listings/editor/1024534419515722548/details/photo-tour" TargetMode="External"/><Relationship Id="rId67" Type="http://schemas.openxmlformats.org/officeDocument/2006/relationships/hyperlink" Target="https://www.agoda.com/q-incomparable-comfort-for-3/hotel/iloilo-ph.html?hotel_id=45268178&amp;ds=GKoFmbWoznfkzC0v" TargetMode="External"/><Relationship Id="rId60" Type="http://schemas.openxmlformats.org/officeDocument/2006/relationships/hyperlink" Target="https://admin.booking.com/hotel/hoteladmin/extranet_ng/manage/home.html?hotel_account_id=15487701&amp;hotel_id=9802300&amp;lang=xu&amp;ses=76a12ded010144b8d35db3bc8a9efcb3" TargetMode="External"/><Relationship Id="rId69" Type="http://schemas.openxmlformats.org/officeDocument/2006/relationships/hyperlink" Target="https://admin.booking.com/hotel/hoteladmin/extranet_ng/manage/home.html?ses=76a12ded010144b8d35db3bc8a9efcb3&amp;lang=xu&amp;hotel_account_id=15487701&amp;hotel_id=11163954" TargetMode="External"/><Relationship Id="rId51" Type="http://schemas.openxmlformats.org/officeDocument/2006/relationships/hyperlink" Target="https://www.airbnb.com/hosting/listings/editor/978643171763950916/details/photo-tour" TargetMode="External"/><Relationship Id="rId50" Type="http://schemas.openxmlformats.org/officeDocument/2006/relationships/hyperlink" Target="https://admin.booking.com/hotel/hoteladmin/extranet_ng/manage/home.html?hotel_id=11483274&amp;hotel_account_id=15487701&amp;lang=xu&amp;ses=76a12ded010144b8d35db3bc8a9efcb3" TargetMode="External"/><Relationship Id="rId53" Type="http://schemas.openxmlformats.org/officeDocument/2006/relationships/hyperlink" Target="https://ycs.agoda.com/mldc/en-us/app/reporting/dashboard/45888451" TargetMode="External"/><Relationship Id="rId52" Type="http://schemas.openxmlformats.org/officeDocument/2006/relationships/hyperlink" Target="https://admin.booking.com/hotel/hoteladmin/extranet_ng/manage/home.html?hotel_account_id=15487701&amp;hotel_id=10760175&amp;ses=76a12ded010144b8d35db3bc8a9efcb3&amp;lang=xu" TargetMode="External"/><Relationship Id="rId55" Type="http://schemas.openxmlformats.org/officeDocument/2006/relationships/hyperlink" Target="https://admin.booking.com/hotel/hoteladmin/extranet_ng/manage/home.html?hotel_account_id=15487701&amp;hotel_id=11649170&amp;ses=76a12ded010144b8d35db3bc8a9efcb3&amp;lang=xu" TargetMode="External"/><Relationship Id="rId54" Type="http://schemas.openxmlformats.org/officeDocument/2006/relationships/hyperlink" Target="https://www.airbnb.com/hosting/listings/editor/1104738856642578480/details/photo-tour" TargetMode="External"/><Relationship Id="rId57" Type="http://schemas.openxmlformats.org/officeDocument/2006/relationships/hyperlink" Target="https://www.airbnb.com/hosting/listings/editor/1055540394247049511/details/photo-tour" TargetMode="External"/><Relationship Id="rId56" Type="http://schemas.openxmlformats.org/officeDocument/2006/relationships/hyperlink" Target="https://www.agoda.com/i2-sleek-city-haven/hotel/iloilo-ph.html?hotel_id=55833910&amp;ds=GKoFmbWoznfkzC0v" TargetMode="External"/><Relationship Id="rId59" Type="http://schemas.openxmlformats.org/officeDocument/2006/relationships/hyperlink" Target="https://www.airbnb.com/hosting/listings/editor/854152243536282449/details/photo-tour" TargetMode="External"/><Relationship Id="rId58" Type="http://schemas.openxmlformats.org/officeDocument/2006/relationships/hyperlink" Target="https://admin.booking.com/hotel/hoteladmin/extranet_ng/manage/home.html?hotel_account_id=15487701&amp;lang=xu&amp;ses=76a12ded010144b8d35db3bc8a9efcb3&amp;hotel_id=11333045" TargetMode="External"/><Relationship Id="rId107" Type="http://schemas.openxmlformats.org/officeDocument/2006/relationships/hyperlink" Target="https://admin.booking.com/hotel/hoteladmin/extranet_ng/manage/home.html?hotel_id=13927354&amp;ses=077f0355f225198545ac0c6aeb1f1df5&amp;lang=xu&amp;hotel_account_id=15487701" TargetMode="External"/><Relationship Id="rId228" Type="http://schemas.openxmlformats.org/officeDocument/2006/relationships/hyperlink" Target="https://admin.booking.com/hotel/hoteladmin/extranet_ng/manage/home.html?hotel_account_id=15487701&amp;ses=76a12ded010144b8d35db3bc8a9efcb3&amp;lang=xu&amp;hotel_id=11759041" TargetMode="External"/><Relationship Id="rId349" Type="http://schemas.openxmlformats.org/officeDocument/2006/relationships/hyperlink" Target="https://www.airbnb.com/hosting/listings/editor/1307941763076379574/details/photo-tour" TargetMode="External"/><Relationship Id="rId106" Type="http://schemas.openxmlformats.org/officeDocument/2006/relationships/hyperlink" Target="https://www.airbnb.com/hosting/listings/editor/1394687232621406570/details/photo-tour" TargetMode="External"/><Relationship Id="rId227" Type="http://schemas.openxmlformats.org/officeDocument/2006/relationships/hyperlink" Target="https://www.airbnb.com/hosting/listings/editor/1117173758916311168/details/photo-tour" TargetMode="External"/><Relationship Id="rId348" Type="http://schemas.openxmlformats.org/officeDocument/2006/relationships/hyperlink" Target="https://drive.google.com/file/d/1dPncYzLFabMEEcNb-poLvlzyWi5iR3AI/view?usp=drive_link" TargetMode="External"/><Relationship Id="rId105" Type="http://schemas.openxmlformats.org/officeDocument/2006/relationships/hyperlink" Target="https://drive.google.com/file/d/10Nh50VT0RXHLp4IQy5jMxAxqVe7K36dp/view?usp=drive_link" TargetMode="External"/><Relationship Id="rId226" Type="http://schemas.openxmlformats.org/officeDocument/2006/relationships/hyperlink" Target="https://ycs.agoda.com/mldc/en-us/app/reporting/dashboard/73033746" TargetMode="External"/><Relationship Id="rId347" Type="http://schemas.openxmlformats.org/officeDocument/2006/relationships/hyperlink" Target="https://admin.booking.com/hotel/hoteladmin/extranet_ng/manage/home.html?hotel_id=12021042&amp;lang=xu&amp;ses=76a12ded010144b8d35db3bc8a9efcb3&amp;hotel_account_id=15487701" TargetMode="External"/><Relationship Id="rId104" Type="http://schemas.openxmlformats.org/officeDocument/2006/relationships/hyperlink" Target="https://www.agoda.com/o2-urban-zen-retreat/hotel/iloilo-ph.html?hotel_id=55834029&amp;ds=GKoFmbWoznfkzC0v" TargetMode="External"/><Relationship Id="rId225" Type="http://schemas.openxmlformats.org/officeDocument/2006/relationships/hyperlink" Target="https://admin.booking.com/hotel/hoteladmin/extranet_ng/manage/home.html?hotel_account_id=15487701&amp;ses=76a12ded010144b8d35db3bc8a9efcb3&amp;hotel_id=14158555&amp;lang=xu" TargetMode="External"/><Relationship Id="rId346" Type="http://schemas.openxmlformats.org/officeDocument/2006/relationships/hyperlink" Target="https://www.airbnb.com/hosting/listings/editor/1221609341379059888/details/photo-tour/https://www.airbnb.com/hosting/listings/editor/1149846344378156078/details/photo-tour" TargetMode="External"/><Relationship Id="rId109" Type="http://schemas.openxmlformats.org/officeDocument/2006/relationships/hyperlink" Target="https://drive.google.com/file/d/1WGl0CDtezcibVpG-GApnWkj3OAwav7eF/view?usp=drive_link" TargetMode="External"/><Relationship Id="rId108" Type="http://schemas.openxmlformats.org/officeDocument/2006/relationships/hyperlink" Target="https://www.agoda.com/bt-1-chic-city-studio-retreat/hotel/iloilo-ph.html?hotel_id=69360600&amp;ds=Pqpv9ubB85m68Ltp" TargetMode="External"/><Relationship Id="rId229" Type="http://schemas.openxmlformats.org/officeDocument/2006/relationships/hyperlink" Target="https://ycs.agoda.com/mldc/en-us/app/reporting/dashboard/55811346" TargetMode="External"/><Relationship Id="rId220" Type="http://schemas.openxmlformats.org/officeDocument/2006/relationships/hyperlink" Target="https://www.airbnb.com/hosting/listings/editor/1349508304372703955/details/photo-tour" TargetMode="External"/><Relationship Id="rId341" Type="http://schemas.openxmlformats.org/officeDocument/2006/relationships/hyperlink" Target="https://www.airbnb.com/hosting/listings/editor/1249138700555683851/details/photo-tour" TargetMode="External"/><Relationship Id="rId340" Type="http://schemas.openxmlformats.org/officeDocument/2006/relationships/hyperlink" Target="https://drive.google.com/file/d/19Kjgzik9RGtvIYbWBmQUeBhVe3INHXU9/view?usp=drive_link" TargetMode="External"/><Relationship Id="rId103" Type="http://schemas.openxmlformats.org/officeDocument/2006/relationships/hyperlink" Target="https://admin.booking.com/hotel/hoteladmin/extranet_ng/manage/home.html?hotel_account_id=15487701&amp;lang=xu&amp;hotel_id=12040343&amp;ses=76a12ded010144b8d35db3bc8a9efcb3" TargetMode="External"/><Relationship Id="rId224" Type="http://schemas.openxmlformats.org/officeDocument/2006/relationships/hyperlink" Target="https://www.airbnb.com/hosting/listings/editor/1420265682528540311/details/photo-tour" TargetMode="External"/><Relationship Id="rId345" Type="http://schemas.openxmlformats.org/officeDocument/2006/relationships/hyperlink" Target="https://drive.google.com/file/d/1ifuYiD9-MivIudNefbU3cJnPKS6uRM5N/view?usp=drivesdk" TargetMode="External"/><Relationship Id="rId102" Type="http://schemas.openxmlformats.org/officeDocument/2006/relationships/hyperlink" Target="https://www.airbnb.com/hosting/listings/editor/1148359820296094916/details/photo-tour" TargetMode="External"/><Relationship Id="rId223" Type="http://schemas.openxmlformats.org/officeDocument/2006/relationships/hyperlink" Target="https://drive.google.com/file/d/1ldTMFRdBxQlOVJ58gQmnhSJhBynNWv8T/view?usp=drive_link" TargetMode="External"/><Relationship Id="rId344" Type="http://schemas.openxmlformats.org/officeDocument/2006/relationships/hyperlink" Target="https://admin.booking.com/hotel/hoteladmin/extranet_ng/manage/home.html?hotel_id=11529739&amp;ses=76a12ded010144b8d35db3bc8a9efcb3&amp;lang=xu&amp;hotel_account_id=15487701" TargetMode="External"/><Relationship Id="rId101" Type="http://schemas.openxmlformats.org/officeDocument/2006/relationships/hyperlink" Target="https://drive.google.com/file/d/1WYUON4L_87p7WZleIsk6-ymTccte1YcZ/view?usp=drive_link" TargetMode="External"/><Relationship Id="rId222" Type="http://schemas.openxmlformats.org/officeDocument/2006/relationships/hyperlink" Target="https://ycs.agoda.com/mldc/en-us/app/reporting/dashboard/68515707" TargetMode="External"/><Relationship Id="rId343" Type="http://schemas.openxmlformats.org/officeDocument/2006/relationships/hyperlink" Target="https://www.airbnb.com/hosting/listings/editor/1073025331453501434/details/photo-tour" TargetMode="External"/><Relationship Id="rId100" Type="http://schemas.openxmlformats.org/officeDocument/2006/relationships/hyperlink" Target="https://www.agoda.com/n2-sleek-urban-escape/hotel/iloilo-ph.html?hotel_id=55834014&amp;ds=GKoFmbWoznfkzC0v" TargetMode="External"/><Relationship Id="rId221" Type="http://schemas.openxmlformats.org/officeDocument/2006/relationships/hyperlink" Target="https://admin.booking.com/hotel/hoteladmin/extranet_ng/manage/home.html?hotel_id=13619312&amp;hotel_account_id=15487701&amp;lang=xu&amp;ses=76a12ded010144b8d35db3bc8a9efcb3" TargetMode="External"/><Relationship Id="rId342" Type="http://schemas.openxmlformats.org/officeDocument/2006/relationships/hyperlink" Target="https://admin.booking.com/hotel/hoteladmin/extranet_ng/manage/home.html?hotel_account_id=15487701&amp;lang=xu&amp;hotel_id=12986363&amp;ses=76a12ded010144b8d35db3bc8a9efcb3" TargetMode="External"/><Relationship Id="rId217" Type="http://schemas.openxmlformats.org/officeDocument/2006/relationships/hyperlink" Target="https://www.airbnb.com/hosting/listings/editor/1317820612780568662/details/photo-tour" TargetMode="External"/><Relationship Id="rId338" Type="http://schemas.openxmlformats.org/officeDocument/2006/relationships/hyperlink" Target="https://admin.booking.com/hotel/hoteladmin/extranet_ng/manage/home.html?hotel_id=11479941&amp;ses=76a12ded010144b8d35db3bc8a9efcb3&amp;hotel_account_id=15487701&amp;lang=xu" TargetMode="External"/><Relationship Id="rId216" Type="http://schemas.openxmlformats.org/officeDocument/2006/relationships/hyperlink" Target="https://ycs.agoda.com/mldc/en-us/app/reporting/dashboard/68515696" TargetMode="External"/><Relationship Id="rId337" Type="http://schemas.openxmlformats.org/officeDocument/2006/relationships/hyperlink" Target="https://www.airbnb.com/hosting/listings/editor/1073103822711654161/details/photo-tour" TargetMode="External"/><Relationship Id="rId215" Type="http://schemas.openxmlformats.org/officeDocument/2006/relationships/hyperlink" Target="https://admin.booking.com/hotel/hoteladmin/extranet_ng/manage/home.html?hotel_id=14165107&amp;hotel_account_id=15487701&amp;ses=76a12ded010144b8d35db3bc8a9efcb3&amp;lang=xu" TargetMode="External"/><Relationship Id="rId336" Type="http://schemas.openxmlformats.org/officeDocument/2006/relationships/hyperlink" Target="https://admin.booking.com/hotel/hoteladmin/extranet_ng/manage/home.html?ses=76a12ded010144b8d35db3bc8a9efcb3&amp;lang=xu&amp;hotel_id=14148607&amp;hotel_account_id=15487701" TargetMode="External"/><Relationship Id="rId214" Type="http://schemas.openxmlformats.org/officeDocument/2006/relationships/hyperlink" Target="https://www.airbnb.com/hosting/listings/editor/1382509898032958400/details/photo-tour" TargetMode="External"/><Relationship Id="rId335" Type="http://schemas.openxmlformats.org/officeDocument/2006/relationships/hyperlink" Target="https://www.airbnb.com/hosting/listings/editor/1387298405913402084/details/photo-tour" TargetMode="External"/><Relationship Id="rId219" Type="http://schemas.openxmlformats.org/officeDocument/2006/relationships/hyperlink" Target="https://ycs.agoda.com/mldc/en-us/app/reporting/dashboard/68515726" TargetMode="External"/><Relationship Id="rId218" Type="http://schemas.openxmlformats.org/officeDocument/2006/relationships/hyperlink" Target="https://admin.booking.com/hotel/hoteladmin/extranet_ng/manage/home.html?ses=76a12ded010144b8d35db3bc8a9efcb3&amp;lang=xu&amp;hotel_account_id=15487701&amp;hotel_id=13380599" TargetMode="External"/><Relationship Id="rId339" Type="http://schemas.openxmlformats.org/officeDocument/2006/relationships/hyperlink" Target="https://www.agoda.com/wv-2-tranquil-haven/hotel/iloilo-ph.html?hotel_id=55790624&amp;ds=Pqpv9ubB85m68Ltp" TargetMode="External"/><Relationship Id="rId330" Type="http://schemas.openxmlformats.org/officeDocument/2006/relationships/hyperlink" Target="https://www.airbnb.com/hosting/listings/editor/1353162688699627471/details/photo-tour" TargetMode="External"/><Relationship Id="rId213" Type="http://schemas.openxmlformats.org/officeDocument/2006/relationships/hyperlink" Target="https://drive.google.com/file/d/13BSWF7PNER2CS6P06uQLdnvX9FSufCHb/view?usp=drive_link" TargetMode="External"/><Relationship Id="rId334" Type="http://schemas.openxmlformats.org/officeDocument/2006/relationships/hyperlink" Target="https://www.agoda.com/wv-3-peaceful-pinnacle/hotel/iloilo-ph.html?hotel_id=55790652&amp;ds=Pqpv9ubB85m68Ltp" TargetMode="External"/><Relationship Id="rId212" Type="http://schemas.openxmlformats.org/officeDocument/2006/relationships/hyperlink" Target="https://ycs.agoda.com/mldc/en-us/app/reporting/dashboard/45261532" TargetMode="External"/><Relationship Id="rId333" Type="http://schemas.openxmlformats.org/officeDocument/2006/relationships/hyperlink" Target="https://admin.booking.com/hotel/hoteladmin/extranet_ng/manage/home.html?hotel_account_id=15487701&amp;hotel_id=11498335&amp;lang=xu&amp;ses=76a12ded010144b8d35db3bc8a9efcb3" TargetMode="External"/><Relationship Id="rId211" Type="http://schemas.openxmlformats.org/officeDocument/2006/relationships/hyperlink" Target="https://admin.booking.com/hotel/hoteladmin/extranet_ng/manage/home.html?ses=76a12ded010144b8d35db3bc8a9efcb3&amp;lang=xu&amp;hotel_account_id=15487701&amp;hotel_id=10710994" TargetMode="External"/><Relationship Id="rId332" Type="http://schemas.openxmlformats.org/officeDocument/2006/relationships/hyperlink" Target="https://www.airbnb.com/hosting/listings/editor/1084577348277453538/details/photo-tour" TargetMode="External"/><Relationship Id="rId210" Type="http://schemas.openxmlformats.org/officeDocument/2006/relationships/hyperlink" Target="https://www.airbnb.com/hosting/listings/editor/892657579732968292/view-your-space" TargetMode="External"/><Relationship Id="rId331" Type="http://schemas.openxmlformats.org/officeDocument/2006/relationships/hyperlink" Target="https://admin.booking.com/hotel/hoteladmin/extranet_ng/manage/home.html?lang=xu&amp;ses=76a12ded010144b8d35db3bc8a9efcb3&amp;hotel_account_id=15487701&amp;hotel_id=13619153" TargetMode="External"/><Relationship Id="rId370" Type="http://schemas.openxmlformats.org/officeDocument/2006/relationships/hyperlink" Target="https://admin.booking.com/hotel/hoteladmin/extranet_ng/manage/home.html?hotel_id=10910920&amp;lang=xu&amp;hotel_account_id=15487701&amp;ses=76a12ded010144b8d35db3bc8a9efcb3" TargetMode="External"/><Relationship Id="rId129" Type="http://schemas.openxmlformats.org/officeDocument/2006/relationships/hyperlink" Target="https://ycs.agoda.com/mldc/en-us/app/reporting/dashboard/68515763" TargetMode="External"/><Relationship Id="rId128" Type="http://schemas.openxmlformats.org/officeDocument/2006/relationships/hyperlink" Target="https://admin.booking.com/hotel/hoteladmin/extranet_ng/manage/home.html?hotel_id=12849179&amp;hotel_account_id=15487701&amp;ses=76a12ded010144b8d35db3bc8a9efcb3&amp;lang=xu" TargetMode="External"/><Relationship Id="rId249" Type="http://schemas.openxmlformats.org/officeDocument/2006/relationships/hyperlink" Target="https://www.airbnb.com/hosting/listings/editor/1412662371655240994/details/photo-tour" TargetMode="External"/><Relationship Id="rId127" Type="http://schemas.openxmlformats.org/officeDocument/2006/relationships/hyperlink" Target="https://www.airbnb.com/hosting/listings/editor/1244820027850144607/details/photo-tour" TargetMode="External"/><Relationship Id="rId248" Type="http://schemas.openxmlformats.org/officeDocument/2006/relationships/hyperlink" Target="https://ycs.agoda.com/mldc/en-us/app/reporting/dashboard/72422180" TargetMode="External"/><Relationship Id="rId369" Type="http://schemas.openxmlformats.org/officeDocument/2006/relationships/hyperlink" Target="https://www.airbnb.com/hosting/listings/editor/1000642412517733303/view-your-space" TargetMode="External"/><Relationship Id="rId126" Type="http://schemas.openxmlformats.org/officeDocument/2006/relationships/hyperlink" Target="https://drive.google.com/file/d/1Y1fo0KiCUosccaab_U2h5eKwF33LOdOB/view?usp=drive_link" TargetMode="External"/><Relationship Id="rId247" Type="http://schemas.openxmlformats.org/officeDocument/2006/relationships/hyperlink" Target="https://admin.booking.com/hotel/hoteladmin/extranet_ng/manage/home.html?hotel_id=14034212&amp;lang=xu&amp;ses=077f0355f225198545ac0c6aeb1f1df5&amp;hotel_account_id=15487701" TargetMode="External"/><Relationship Id="rId368" Type="http://schemas.openxmlformats.org/officeDocument/2006/relationships/hyperlink" Target="https://ycs.agoda.com/mldc/en-us/app/reporting/dashboard/45260915" TargetMode="External"/><Relationship Id="rId121" Type="http://schemas.openxmlformats.org/officeDocument/2006/relationships/hyperlink" Target="https://ycs.agoda.com/mldc/en-us/app/reporting/dashboard/68515769" TargetMode="External"/><Relationship Id="rId242" Type="http://schemas.openxmlformats.org/officeDocument/2006/relationships/hyperlink" Target="https://admin.booking.com/hotel/hoteladmin/extranet_ng/manage/home.html?lang=xu&amp;ses=077f0355f225198545ac0c6aeb1f1df5&amp;hotel_account_id=15487701&amp;hotel_id=14034175" TargetMode="External"/><Relationship Id="rId363" Type="http://schemas.openxmlformats.org/officeDocument/2006/relationships/hyperlink" Target="https://www.airbnb.com/hosting/listings/editor/909625870505679570/details/photo-tour" TargetMode="External"/><Relationship Id="rId120" Type="http://schemas.openxmlformats.org/officeDocument/2006/relationships/hyperlink" Target="https://admin.booking.com/hotel/hoteladmin/extranet_ng/manage/home.html?lang=xu&amp;hotel_id=12848941&amp;hotel_account_id=15487701&amp;ses=76a12ded010144b8d35db3bc8a9efcb3" TargetMode="External"/><Relationship Id="rId241" Type="http://schemas.openxmlformats.org/officeDocument/2006/relationships/hyperlink" Target="https://www.airbnb.com/hosting/listings/editor/1104816172794026292/view-your-space" TargetMode="External"/><Relationship Id="rId362" Type="http://schemas.openxmlformats.org/officeDocument/2006/relationships/hyperlink" Target="https://ycs.agoda.com/mldc/en-us/app/reporting/dashboard/47125184" TargetMode="External"/><Relationship Id="rId240" Type="http://schemas.openxmlformats.org/officeDocument/2006/relationships/hyperlink" Target="https://drive.google.com/file/d/1m8Z7W4Lwr5s4LJtEIlQBXnRw3PcefRT5/view?usp=drive_link" TargetMode="External"/><Relationship Id="rId361" Type="http://schemas.openxmlformats.org/officeDocument/2006/relationships/hyperlink" Target="https://admin.booking.com/hotel/hoteladmin/extranet_ng/manage/home.html?ses=76a12ded010144b8d35db3bc8a9efcb3&amp;hotel_id=10936231&amp;lang=xu&amp;hotel_account_id=15487701" TargetMode="External"/><Relationship Id="rId360" Type="http://schemas.openxmlformats.org/officeDocument/2006/relationships/hyperlink" Target="https://www.airbnb.com/hosting/listings/editor/1004254939837369570/details/photo-tour" TargetMode="External"/><Relationship Id="rId125" Type="http://schemas.openxmlformats.org/officeDocument/2006/relationships/hyperlink" Target="https://ycs.agoda.com/mldc/en-us/app/reporting/dashboard/68515753" TargetMode="External"/><Relationship Id="rId246" Type="http://schemas.openxmlformats.org/officeDocument/2006/relationships/hyperlink" Target="https://www.airbnb.com/hosting/listings/editor/1406881059092791365/details/photo-tour" TargetMode="External"/><Relationship Id="rId367" Type="http://schemas.openxmlformats.org/officeDocument/2006/relationships/hyperlink" Target="https://admin.booking.com/hotel/hoteladmin/extranet_ng/manage/home.html?lang=xu&amp;hotel_account_id=15487701&amp;hotel_id=10264324&amp;ses=76a12ded010144b8d35db3bc8a9efcb3" TargetMode="External"/><Relationship Id="rId124" Type="http://schemas.openxmlformats.org/officeDocument/2006/relationships/hyperlink" Target="https://admin.booking.com/hotel/hoteladmin/extranet_ng/manage/home.html?hotel_account_id=15487701&amp;ses=76a12ded010144b8d35db3bc8a9efcb3&amp;lang=xu&amp;hotel_id=12991388" TargetMode="External"/><Relationship Id="rId245" Type="http://schemas.openxmlformats.org/officeDocument/2006/relationships/hyperlink" Target="https://drive.google.com/file/d/1zL18AQbGngMaepVpE9uy5zxGUBGMaVwj/view?usp=drive_link" TargetMode="External"/><Relationship Id="rId366" Type="http://schemas.openxmlformats.org/officeDocument/2006/relationships/hyperlink" Target="https://www.airbnb.com/hosting/listings/editor/914175156353769277/details/photo-tour" TargetMode="External"/><Relationship Id="rId123" Type="http://schemas.openxmlformats.org/officeDocument/2006/relationships/hyperlink" Target="https://www.airbnb.com/hosting/listings/editor/1263660880392342461/details/photo-tour" TargetMode="External"/><Relationship Id="rId244" Type="http://schemas.openxmlformats.org/officeDocument/2006/relationships/hyperlink" Target="https://www.airbnb.com/hosting/listings/editor/1241882684299256268/details/photo-tour" TargetMode="External"/><Relationship Id="rId365" Type="http://schemas.openxmlformats.org/officeDocument/2006/relationships/hyperlink" Target="https://www.agoda.com/j-travellers-choice-2023/hotel/iloilo-ph.html?hotel_id=45259895&amp;ds=GKoFmbWoznfkzC0v" TargetMode="External"/><Relationship Id="rId122" Type="http://schemas.openxmlformats.org/officeDocument/2006/relationships/hyperlink" Target="https://drive.google.com/file/d/17fbMXv1POODt6UeJ6xvYgMpXcKq3rpFG/view?usp=drive_link" TargetMode="External"/><Relationship Id="rId243" Type="http://schemas.openxmlformats.org/officeDocument/2006/relationships/hyperlink" Target="https://drive.google.com/file/d/1CuyXt5cGMwgw4jOMxNJA1HUifEAuCMBJ/view?usp=drive_link" TargetMode="External"/><Relationship Id="rId364" Type="http://schemas.openxmlformats.org/officeDocument/2006/relationships/hyperlink" Target="https://admin.booking.com/hotel/hoteladmin/extranet_ng/manage/home.html?lang=xu&amp;ses=76a12ded010144b8d35db3bc8a9efcb3&amp;hotel_account_id=15487701&amp;hotel_id=10237981" TargetMode="External"/><Relationship Id="rId95" Type="http://schemas.openxmlformats.org/officeDocument/2006/relationships/hyperlink" Target="https://www.airbnb.com/hosting/listings/editor/1148339311779893345/details/photo-tour" TargetMode="External"/><Relationship Id="rId94" Type="http://schemas.openxmlformats.org/officeDocument/2006/relationships/hyperlink" Target="https://www.agoda.com/z2-modern-zen-hideaway-h68515751/hotel/iloilo-ph.html?hotel_id=68515751&amp;ds=Pqpv9ubB85m68Ltp" TargetMode="External"/><Relationship Id="rId97" Type="http://schemas.openxmlformats.org/officeDocument/2006/relationships/hyperlink" Target="https://www.agoda.com/m2-minimalist-and-cozy-studio/hotel/iloilo-ph.html?hotel_id=55824556&amp;ds=GKoFmbWoznfkzC0v" TargetMode="External"/><Relationship Id="rId96" Type="http://schemas.openxmlformats.org/officeDocument/2006/relationships/hyperlink" Target="https://admin.booking.com/hotel/hoteladmin/extranet_ng/manage/home.html?ses=76a12ded010144b8d35db3bc8a9efcb3&amp;lang=xu&amp;hotel_account_id=15487701&amp;hotel_id=12084432" TargetMode="External"/><Relationship Id="rId99" Type="http://schemas.openxmlformats.org/officeDocument/2006/relationships/hyperlink" Target="https://admin.booking.com/hotel/hoteladmin/extranet_ng/manage/home.html?hotel_id=12012580&amp;lang=xu&amp;hotel_account_id=15487701&amp;ses=76a12ded010144b8d35db3bc8a9efcb3" TargetMode="External"/><Relationship Id="rId98" Type="http://schemas.openxmlformats.org/officeDocument/2006/relationships/hyperlink" Target="https://www.airbnb.com/hosting/listings/editor/1148348619538609736/details/photo-tour" TargetMode="External"/><Relationship Id="rId91" Type="http://schemas.openxmlformats.org/officeDocument/2006/relationships/hyperlink" Target="https://www.agoda.com/x2-urban-zen-studio/hotel/iloilo-ph.html?hotel_id=68515774&amp;ds=Pqpv9ubB85m68Ltp" TargetMode="External"/><Relationship Id="rId90" Type="http://schemas.openxmlformats.org/officeDocument/2006/relationships/hyperlink" Target="https://admin.booking.com/hotel/hoteladmin/extranet_ng/manage/home.html?ses=76a12ded010144b8d35db3bc8a9efcb3&amp;hotel_account_id=15487701&amp;hotel_id=12842806&amp;lang=xu" TargetMode="External"/><Relationship Id="rId93" Type="http://schemas.openxmlformats.org/officeDocument/2006/relationships/hyperlink" Target="https://admin.booking.com/hotel/hoteladmin/extranet_ng/manage/home.html?hotel_id=12991347&amp;lang=xu&amp;ses=077f0355f225198545ac0c6aeb1f1df5&amp;hotel_account_id=15487701" TargetMode="External"/><Relationship Id="rId92" Type="http://schemas.openxmlformats.org/officeDocument/2006/relationships/hyperlink" Target="https://www.airbnb.com/hosting/listings/editor/1266936581574618902/details/photo-tour" TargetMode="External"/><Relationship Id="rId118" Type="http://schemas.openxmlformats.org/officeDocument/2006/relationships/hyperlink" Target="https://drive.google.com/file/d/1n3DLILVw9M9eNB6WMuc7d3i3nqsnlj2U/view?usp=drive_link" TargetMode="External"/><Relationship Id="rId239" Type="http://schemas.openxmlformats.org/officeDocument/2006/relationships/hyperlink" Target="https://ycs.agoda.com/mldc/en-us/app/reporting/dashboard/68515738" TargetMode="External"/><Relationship Id="rId117" Type="http://schemas.openxmlformats.org/officeDocument/2006/relationships/hyperlink" Target="https://ycs.agoda.com/mldc/en-us/app/reporting/dashboard/68515748" TargetMode="External"/><Relationship Id="rId238" Type="http://schemas.openxmlformats.org/officeDocument/2006/relationships/hyperlink" Target="https://admin.booking.com/hotel/hoteladmin/extranet_ng/manage/home.html?hotel_id=13373776&amp;lang=xu&amp;ses=76a12ded010144b8d35db3bc8a9efcb3&amp;hotel_account_id=15487701" TargetMode="External"/><Relationship Id="rId359" Type="http://schemas.openxmlformats.org/officeDocument/2006/relationships/hyperlink" Target="https://www.agoda.com/r2-minimalist-snug-haven/hotel/iloilo-ph.html?hotel_id=57157248&amp;ds=Pqpv9ubB85m68Ltp" TargetMode="External"/><Relationship Id="rId116" Type="http://schemas.openxmlformats.org/officeDocument/2006/relationships/hyperlink" Target="https://admin.booking.com/hotel/hoteladmin/extranet_ng/manage/home.html?ses=76a12ded010144b8d35db3bc8a9efcb3&amp;hotel_id=12991624&amp;lang=xu&amp;hotel_account_id=15487701" TargetMode="External"/><Relationship Id="rId237" Type="http://schemas.openxmlformats.org/officeDocument/2006/relationships/hyperlink" Target="https://www.airbnb.com/hosting/listings/editor/1288159771906626964/details/photo-tour" TargetMode="External"/><Relationship Id="rId358" Type="http://schemas.openxmlformats.org/officeDocument/2006/relationships/hyperlink" Target="https://admin.booking.com/hotel/hoteladmin/extranet_ng/manage/home.html?hotel_id=12220568&amp;lang=xu&amp;hotel_account_id=15487701&amp;ses=76a12ded010144b8d35db3bc8a9efcb3" TargetMode="External"/><Relationship Id="rId115" Type="http://schemas.openxmlformats.org/officeDocument/2006/relationships/hyperlink" Target="https://www.airbnb.com/hosting/listings/editor/1272702617639828408/details/photo-tour" TargetMode="External"/><Relationship Id="rId236" Type="http://schemas.openxmlformats.org/officeDocument/2006/relationships/hyperlink" Target="https://drive.google.com/file/d/1vdf3z9y5vN5Z5kGNRbsmcqFG2Hs7BsM8/view?usp=drive_link" TargetMode="External"/><Relationship Id="rId357" Type="http://schemas.openxmlformats.org/officeDocument/2006/relationships/hyperlink" Target="https://www.airbnb.com/hosting/listings/editor/1172949425728132788/details/photo-tour" TargetMode="External"/><Relationship Id="rId119" Type="http://schemas.openxmlformats.org/officeDocument/2006/relationships/hyperlink" Target="https://www.airbnb.com/hosting/listings/editor/1238323116628691751/view-your-space" TargetMode="External"/><Relationship Id="rId110" Type="http://schemas.openxmlformats.org/officeDocument/2006/relationships/hyperlink" Target="https://www.airbnb.com/hosting/listings/editor/1429488220881744236/view-your-space" TargetMode="External"/><Relationship Id="rId231" Type="http://schemas.openxmlformats.org/officeDocument/2006/relationships/hyperlink" Target="https://www.airbnb.com/hosting/listings/editor/1312659220927938574/details/photo-tour" TargetMode="External"/><Relationship Id="rId352" Type="http://schemas.openxmlformats.org/officeDocument/2006/relationships/hyperlink" Target="https://admin.booking.com/hotel/hoteladmin/extranet_ng/manage/home.html?lang=xu&amp;ses=76a12ded010144b8d35db3bc8a9efcb3&amp;hotel_id=10579206&amp;hotel_account_id=15487701" TargetMode="External"/><Relationship Id="rId230" Type="http://schemas.openxmlformats.org/officeDocument/2006/relationships/hyperlink" Target="https://drive.google.com/file/d/1AVTrFSzA-hLoSo0OwVHAu-J6umPqym2u/view?usp=drivesdk" TargetMode="External"/><Relationship Id="rId351" Type="http://schemas.openxmlformats.org/officeDocument/2006/relationships/hyperlink" Target="https://www.airbnb.com/hosting/listings/editor/948370240642953903/details/photo-tour" TargetMode="External"/><Relationship Id="rId350" Type="http://schemas.openxmlformats.org/officeDocument/2006/relationships/hyperlink" Target="https://admin.booking.com/hotel/hoteladmin/extranet_ng/manage/home.html?hotel_id=13378909&amp;hotel_account_id=15487701&amp;lang=xu&amp;ses=76a12ded010144b8d35db3bc8a9efcb3" TargetMode="External"/><Relationship Id="rId114" Type="http://schemas.openxmlformats.org/officeDocument/2006/relationships/hyperlink" Target="https://drive.google.com/file/d/1H4D7XqVYx-qZQwvl1TzuR_VJrJtZcF5t/view?usp=drive_link" TargetMode="External"/><Relationship Id="rId235" Type="http://schemas.openxmlformats.org/officeDocument/2006/relationships/hyperlink" Target="https://www.airbnb.com/hosting/listings/editor/1445346570301558046/details/photo-tour" TargetMode="External"/><Relationship Id="rId356" Type="http://schemas.openxmlformats.org/officeDocument/2006/relationships/hyperlink" Target="https://ycs.agoda.com/mldc/en-us/app/reporting/dashboard/45260333" TargetMode="External"/><Relationship Id="rId113" Type="http://schemas.openxmlformats.org/officeDocument/2006/relationships/hyperlink" Target="https://drive.google.com/file/d/1gTO3KI-YVJ8Qws_3MhBkyS24Ot3Idtmq/view?usp=drive_link" TargetMode="External"/><Relationship Id="rId234" Type="http://schemas.openxmlformats.org/officeDocument/2006/relationships/hyperlink" Target="https://drive.google.com/file/d/1qVrFhbS_1z5wpFuRbheNSai7Yiy9yVuj/view?usp=drive_link" TargetMode="External"/><Relationship Id="rId355" Type="http://schemas.openxmlformats.org/officeDocument/2006/relationships/hyperlink" Target="https://admin.booking.com/hotel/hoteladmin/extranet_ng/manage/home.html?hotel_id=10239892&amp;hotel_account_id=15487701&amp;ses=76a12ded010144b8d35db3bc8a9efcb3&amp;lang=xu" TargetMode="External"/><Relationship Id="rId112" Type="http://schemas.openxmlformats.org/officeDocument/2006/relationships/hyperlink" Target="https://ycs.agoda.com/mldc/en-us/app/reporting/dashboard/74596389" TargetMode="External"/><Relationship Id="rId233" Type="http://schemas.openxmlformats.org/officeDocument/2006/relationships/hyperlink" Target="https://ycs.agoda.com/mldc/en-us/app/reporting/dashboard/68515729" TargetMode="External"/><Relationship Id="rId354" Type="http://schemas.openxmlformats.org/officeDocument/2006/relationships/hyperlink" Target="https://www.airbnb.com/hosting/listings/editor/912129856794116318/details/photo-tour" TargetMode="External"/><Relationship Id="rId111" Type="http://schemas.openxmlformats.org/officeDocument/2006/relationships/hyperlink" Target="https://admin.booking.com/hotel/hoteladmin/extranet_ng/manage/home.html?hotel_account_id=15487701&amp;lang=xu&amp;ses=76a12ded010144b8d35db3bc8a9efcb3&amp;hotel_id=14266123" TargetMode="External"/><Relationship Id="rId232" Type="http://schemas.openxmlformats.org/officeDocument/2006/relationships/hyperlink" Target="https://admin.booking.com/hotel/hoteladmin/extranet_ng/manage/home.html?hotel_account_id=15487701&amp;lang=xu&amp;ses=76a12ded010144b8d35db3bc8a9efcb3&amp;hotel_id=13379344" TargetMode="External"/><Relationship Id="rId353" Type="http://schemas.openxmlformats.org/officeDocument/2006/relationships/hyperlink" Target="https://ycs.agoda.com/mldc/en-us/app/reporting/dashboard/45261151" TargetMode="External"/><Relationship Id="rId305" Type="http://schemas.openxmlformats.org/officeDocument/2006/relationships/hyperlink" Target="https://www.agoda.com/wv-7-serene-haven/hotel/iloilo-ph.html?hotel_id=55790722&amp;ds=Pqpv9ubB85m68Ltp" TargetMode="External"/><Relationship Id="rId304" Type="http://schemas.openxmlformats.org/officeDocument/2006/relationships/hyperlink" Target="https://admin.booking.com/hotel/hoteladmin/extranet_ng/manage/home.html?ses=76a12ded010144b8d35db3bc8a9efcb3&amp;hotel_id=11995203&amp;lang=xu&amp;hotel_account_id=15487701" TargetMode="External"/><Relationship Id="rId303" Type="http://schemas.openxmlformats.org/officeDocument/2006/relationships/hyperlink" Target="https://www.airbnb.com/hosting/listings/editor/1142515886422482744/details/photo-tour" TargetMode="External"/><Relationship Id="rId302" Type="http://schemas.openxmlformats.org/officeDocument/2006/relationships/hyperlink" Target="https://www.agoda.com/wv-6-simple-and-cozy/hotel/iloilo-ph.html?hotel_id=55790679&amp;ds=Pqpv9ubB85m68Ltp" TargetMode="External"/><Relationship Id="rId309" Type="http://schemas.openxmlformats.org/officeDocument/2006/relationships/hyperlink" Target="https://www.airbnb.com/hosting/listings/editor/1146691108371016075/details/photo-tour" TargetMode="External"/><Relationship Id="rId308" Type="http://schemas.openxmlformats.org/officeDocument/2006/relationships/hyperlink" Target="https://www.agoda.com/wv-8-serene-family-room/hotel/iloilo-ph.html?hotel_id=55799894&amp;ds=Pqpv9ubB85m68Ltp" TargetMode="External"/><Relationship Id="rId307" Type="http://schemas.openxmlformats.org/officeDocument/2006/relationships/hyperlink" Target="https://admin.booking.com/hotel/hoteladmin/extranet_ng/manage/home.html?ses=76a12ded010144b8d35db3bc8a9efcb3&amp;hotel_account_id=15487701&amp;hotel_id=11995433&amp;lang=xu" TargetMode="External"/><Relationship Id="rId306" Type="http://schemas.openxmlformats.org/officeDocument/2006/relationships/hyperlink" Target="https://www.airbnb.com/hosting/listings/editor/1144732457996186961/details/photo-tour" TargetMode="External"/><Relationship Id="rId301" Type="http://schemas.openxmlformats.org/officeDocument/2006/relationships/hyperlink" Target="https://admin.booking.com/hotel/hoteladmin/extranet_ng/manage/home.html?hotel_account_id=15487701&amp;hotel_id=12012515&amp;lang=xu&amp;ses=76a12ded010144b8d35db3bc8a9efcb3" TargetMode="External"/><Relationship Id="rId300" Type="http://schemas.openxmlformats.org/officeDocument/2006/relationships/hyperlink" Target="https://www.airbnb.com/hosting/listings/editor/1142514481846687249/details/photo-tour" TargetMode="External"/><Relationship Id="rId206" Type="http://schemas.openxmlformats.org/officeDocument/2006/relationships/hyperlink" Target="https://admin.booking.com/hotel/hoteladmin/extranet_ng/manage/home.html?hotel_account_id=15487701&amp;ses=077f0355f225198545ac0c6aeb1f1df5&amp;hotel_id=13409550&amp;lang=xu" TargetMode="External"/><Relationship Id="rId327" Type="http://schemas.openxmlformats.org/officeDocument/2006/relationships/hyperlink" Target="https://drive.google.com/file/d/18oRhp5KdjfGFdfQhVldPzUH0_-qrCMH2/view?usp=drive_link" TargetMode="External"/><Relationship Id="rId205" Type="http://schemas.openxmlformats.org/officeDocument/2006/relationships/hyperlink" Target="https://www.airbnb.com/hosting/listings/editor/1330997272045209578/details/photo-tour" TargetMode="External"/><Relationship Id="rId326" Type="http://schemas.openxmlformats.org/officeDocument/2006/relationships/hyperlink" Target="https://admin.booking.com/hotel/hoteladmin/extranet_ng/manage/home.html?hotel_id=12986578&amp;lang=xu&amp;hotel_account_id=15487701&amp;ses=76a12ded010144b8d35db3bc8a9efcb3" TargetMode="External"/><Relationship Id="rId204" Type="http://schemas.openxmlformats.org/officeDocument/2006/relationships/hyperlink" Target="https://drive.google.com/file/d/12QdKs99hB7t2B7h66ZqsDjzJ3o-P-K07/view?usp=drive_link" TargetMode="External"/><Relationship Id="rId325" Type="http://schemas.openxmlformats.org/officeDocument/2006/relationships/hyperlink" Target="https://www.airbnb.com/hosting/listings/editor/1269989543126417173/details/photo-tour" TargetMode="External"/><Relationship Id="rId203" Type="http://schemas.openxmlformats.org/officeDocument/2006/relationships/hyperlink" Target="https://admin.booking.com/hotel/hoteladmin/extranet_ng/manage/home.html?hotel_account_id=15487701&amp;lang=xu&amp;hotel_id=12859621&amp;ses=077f0355f225198545ac0c6aeb1f1df5" TargetMode="External"/><Relationship Id="rId324" Type="http://schemas.openxmlformats.org/officeDocument/2006/relationships/hyperlink" Target="https://admin.booking.com/hotel/hoteladmin/extranet_ng/manage/home.html?hotel_id=12367815&amp;lang=xu&amp;hotel_account_id=15487701&amp;ses=76a12ded010144b8d35db3bc8a9efcb3" TargetMode="External"/><Relationship Id="rId209" Type="http://schemas.openxmlformats.org/officeDocument/2006/relationships/hyperlink" Target="https://ycs.agoda.com/mldc/en-us/app/reporting/dashboard/45262054" TargetMode="External"/><Relationship Id="rId208" Type="http://schemas.openxmlformats.org/officeDocument/2006/relationships/hyperlink" Target="https://admin.booking.com/hotel/hoteladmin/extranet_ng/manage/home.html?lang=xu&amp;hotel_account_id=15487701&amp;ses=76a12ded010144b8d35db3bc8a9efcb3&amp;hotel_id=10710893" TargetMode="External"/><Relationship Id="rId329" Type="http://schemas.openxmlformats.org/officeDocument/2006/relationships/hyperlink" Target="https://admin.booking.com/hotel/hoteladmin/extranet_ng/manage/home.html?lang=xu&amp;hotel_account_id=15487701&amp;hotel_id=12986672&amp;ses=76a12ded010144b8d35db3bc8a9efcb3" TargetMode="External"/><Relationship Id="rId207" Type="http://schemas.openxmlformats.org/officeDocument/2006/relationships/hyperlink" Target="https://www.airbnb.com/hosting/listings/editor/892681542674201183/view-your-space" TargetMode="External"/><Relationship Id="rId328" Type="http://schemas.openxmlformats.org/officeDocument/2006/relationships/hyperlink" Target="https://www.airbnb.com/hosting/listings/editor/1273458286471961000/details/photo-tour" TargetMode="External"/><Relationship Id="rId202" Type="http://schemas.openxmlformats.org/officeDocument/2006/relationships/hyperlink" Target="https://www.airbnb.com/hosting/listings/editor/1249491094978593476/details/photo-tour" TargetMode="External"/><Relationship Id="rId323" Type="http://schemas.openxmlformats.org/officeDocument/2006/relationships/hyperlink" Target="https://www.airbnb.com/hosting/listings/editor/1186007232780118531/details/photo-tour" TargetMode="External"/><Relationship Id="rId201" Type="http://schemas.openxmlformats.org/officeDocument/2006/relationships/hyperlink" Target="https://admin.booking.com/hotel/hoteladmin/extranet_ng/manage/home.html?ses=077f0355f225198545ac0c6aeb1f1df5&amp;lang=xu&amp;hotel_id=13380716&amp;hotel_account_id=15487701" TargetMode="External"/><Relationship Id="rId322" Type="http://schemas.openxmlformats.org/officeDocument/2006/relationships/hyperlink" Target="https://drive.google.com/file/d/12qbrMJ4YFtaNsWpgG1Ni6faeytOD4tMi/view?usp=drivesdk" TargetMode="External"/><Relationship Id="rId200" Type="http://schemas.openxmlformats.org/officeDocument/2006/relationships/hyperlink" Target="https://www.airbnb.com/hosting/listings/editor/1317874058695211630/details/photo-tour" TargetMode="External"/><Relationship Id="rId321" Type="http://schemas.openxmlformats.org/officeDocument/2006/relationships/hyperlink" Target="https://admin.booking.com/hotel/hoteladmin/extranet_ng/manage/home.html?ses=76a12ded010144b8d35db3bc8a9efcb3&amp;hotel_id=12986167&amp;lang=xu&amp;hotel_account_id=15487701" TargetMode="External"/><Relationship Id="rId320" Type="http://schemas.openxmlformats.org/officeDocument/2006/relationships/hyperlink" Target="https://www.airbnb.com/hosting/listings/editor/1238967091858836322/details/photo-tour" TargetMode="External"/><Relationship Id="rId316" Type="http://schemas.openxmlformats.org/officeDocument/2006/relationships/hyperlink" Target="https://www.airbnb.com/hosting/listings/editor/1333927702487067315/details/photo-tour" TargetMode="External"/><Relationship Id="rId315" Type="http://schemas.openxmlformats.org/officeDocument/2006/relationships/hyperlink" Target="https://drive.google.com/file/d/1broOAiRc2FPrI2LjHO0nBAko3exf28TK/view?usp=drive_link" TargetMode="External"/><Relationship Id="rId314" Type="http://schemas.openxmlformats.org/officeDocument/2006/relationships/hyperlink" Target="mailto:jadebibiano@gmail.com" TargetMode="External"/><Relationship Id="rId313" Type="http://schemas.openxmlformats.org/officeDocument/2006/relationships/hyperlink" Target="https://admin.booking.com/hotel/hoteladmin/extranet_ng/manage/home.html?hotel_id=12985989&amp;ses=76a12ded010144b8d35db3bc8a9efcb3&amp;lang=xu&amp;hotel_account_id=15487701" TargetMode="External"/><Relationship Id="rId319" Type="http://schemas.openxmlformats.org/officeDocument/2006/relationships/hyperlink" Target="https://drive.google.com/file/d/1VwV9OuknH43vR-h6TSooJ-k_6i0SuyTm/view?usp=drive_link" TargetMode="External"/><Relationship Id="rId318" Type="http://schemas.openxmlformats.org/officeDocument/2006/relationships/hyperlink" Target="https://www.agoda.com/wv-20-smooth-space-minimalist-apartment/hotel/iloilo-ph.html?hotel_id=68515718&amp;ds=Pqpv9ubB85m68Ltp" TargetMode="External"/><Relationship Id="rId317" Type="http://schemas.openxmlformats.org/officeDocument/2006/relationships/hyperlink" Target="https://admin.booking.com/hotel/hoteladmin/extranet_ng/manage/home.html?lang=xu&amp;hotel_account_id=15487701&amp;ses=76a12ded010144b8d35db3bc8a9efcb3&amp;hotel_id=13434254" TargetMode="External"/><Relationship Id="rId312" Type="http://schemas.openxmlformats.org/officeDocument/2006/relationships/hyperlink" Target="https://www.airbnb.com/hosting/listings/editor/1235422697667793992/details/photo-tour" TargetMode="External"/><Relationship Id="rId311" Type="http://schemas.openxmlformats.org/officeDocument/2006/relationships/hyperlink" Target="https://www.agoda.com/wv-9-best-value-barkada-room/hotel/iloilo-ph.html?hotel_id=55799904&amp;ds=Pqpv9ubB85m68Ltp" TargetMode="External"/><Relationship Id="rId310" Type="http://schemas.openxmlformats.org/officeDocument/2006/relationships/hyperlink" Target="https://admin.booking.com/hotel/hoteladmin/extranet_ng/manage/home.html?hotel_account_id=15487701&amp;hotel_id=12071205&amp;ses=76a12ded010144b8d35db3bc8a9efcb3&amp;lang=x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irbnb.com/hosting/listings/editor/948370240642953903/details/photo-tour" TargetMode="External"/><Relationship Id="rId194" Type="http://schemas.openxmlformats.org/officeDocument/2006/relationships/hyperlink" Target="https://drive.google.com/file/d/1_AUmysC6p7dzVoswyS_YSioR-qSe6hZd/view?usp=drive_link" TargetMode="External"/><Relationship Id="rId193" Type="http://schemas.openxmlformats.org/officeDocument/2006/relationships/hyperlink" Target="mailto:villanueva_ira@yahoo.com" TargetMode="External"/><Relationship Id="rId192" Type="http://schemas.openxmlformats.org/officeDocument/2006/relationships/hyperlink" Target="https://ycs.agoda.com/mldc/en-us/app/reporting/dashboard/45261151" TargetMode="External"/><Relationship Id="rId191" Type="http://schemas.openxmlformats.org/officeDocument/2006/relationships/hyperlink" Target="https://admin.booking.com/hotel/hoteladmin/extranet_ng/manage/home.html?lang=xu&amp;ses=76a12ded010144b8d35db3bc8a9efcb3&amp;hotel_id=10579206&amp;hotel_account_id=15487701" TargetMode="External"/><Relationship Id="rId187" Type="http://schemas.openxmlformats.org/officeDocument/2006/relationships/hyperlink" Target="https://www.airbnb.com/hosting/listings/editor/1117630859088411220/details/photo-tour" TargetMode="External"/><Relationship Id="rId186" Type="http://schemas.openxmlformats.org/officeDocument/2006/relationships/hyperlink" Target="https://www.airbnb.com/hosting/listings/editor/862831708390411956/details/photo-tour" TargetMode="External"/><Relationship Id="rId185" Type="http://schemas.openxmlformats.org/officeDocument/2006/relationships/hyperlink" Target="https://www.agoda.com/d-tower-very-comfortable-room-for-3/hotel/iloilo-ph.html?hotel_id=38601196&amp;ds=gy6KwxanO%2BFyCBMp" TargetMode="External"/><Relationship Id="rId184" Type="http://schemas.openxmlformats.org/officeDocument/2006/relationships/hyperlink" Target="https://admin.booking.com/hotel/hoteladmin/extranet_ng/manage/home.html?lang=xu&amp;ses=76a12ded010144b8d35db3bc8a9efcb3&amp;hotel_id=9645898&amp;hotel_account_id=15487701" TargetMode="External"/><Relationship Id="rId189" Type="http://schemas.openxmlformats.org/officeDocument/2006/relationships/hyperlink" Target="https://www.agoda.com/l2-budget-friendly-studio/hotel/iloilo-ph.html?hotel_id=55833997&amp;ds=GKoFmbWoznfkzC0v" TargetMode="External"/><Relationship Id="rId188" Type="http://schemas.openxmlformats.org/officeDocument/2006/relationships/hyperlink" Target="https://admin.booking.com/hotel/hoteladmin/extranet_ng/manage/home.html?hotel_account_id=15487701&amp;ses=76a12ded010144b8d35db3bc8a9efcb3&amp;lang=xu&amp;hotel_id=11764971" TargetMode="External"/><Relationship Id="rId183" Type="http://schemas.openxmlformats.org/officeDocument/2006/relationships/hyperlink" Target="https://www.airbnb.com/hosting/listings/editor/830296351090858194/details/photo-tour" TargetMode="External"/><Relationship Id="rId182" Type="http://schemas.openxmlformats.org/officeDocument/2006/relationships/hyperlink" Target="mailto:cltpo@icloud.com" TargetMode="External"/><Relationship Id="rId181" Type="http://schemas.openxmlformats.org/officeDocument/2006/relationships/hyperlink" Target="https://www.agoda.com/c3-elegant-2br-condo-with-pool-view/hotel/iloilo-ph.html?hotel_id=68515728&amp;ds=gy6KwxanO%2BFyCBMp" TargetMode="External"/><Relationship Id="rId180" Type="http://schemas.openxmlformats.org/officeDocument/2006/relationships/hyperlink" Target="https://admin.booking.com/hotel/hoteladmin/extranet_ng/manage/home.html?lang=xu&amp;ses=077f0355f225198545ac0c6aeb1f1df5&amp;hotel_id=13380197&amp;hotel_account_id=15487701" TargetMode="External"/><Relationship Id="rId176" Type="http://schemas.openxmlformats.org/officeDocument/2006/relationships/hyperlink" Target="https://admin.booking.com/hotel/hoteladmin/extranet_ng/manage/home.html?ses=077f0355f225198545ac0c6aeb1f1df5&amp;hotel_account_id=15487701&amp;lang=xu&amp;hotel_id=13363360" TargetMode="External"/><Relationship Id="rId297" Type="http://schemas.openxmlformats.org/officeDocument/2006/relationships/hyperlink" Target="https://www.airbnb.com/hosting/listings/editor/979674084348572304/details/photo-tour" TargetMode="External"/><Relationship Id="rId175" Type="http://schemas.openxmlformats.org/officeDocument/2006/relationships/hyperlink" Target="https://www.airbnb.com/hosting/listings/editor/1287526033675205562/details/photo-tour" TargetMode="External"/><Relationship Id="rId296" Type="http://schemas.openxmlformats.org/officeDocument/2006/relationships/hyperlink" Target="mailto:n_pison@yahoo.com" TargetMode="External"/><Relationship Id="rId174" Type="http://schemas.openxmlformats.org/officeDocument/2006/relationships/hyperlink" Target="https://drive.google.com/file/d/16pqQsmJ_bWgq3AiFSayFmskO9EMXpavT/view?usp=drive_link" TargetMode="External"/><Relationship Id="rId295" Type="http://schemas.openxmlformats.org/officeDocument/2006/relationships/hyperlink" Target="https://www.agoda.com/p-fantastic-2br-option-for-8/hotel/iloilo-ph.html?hotel_id=45261293&amp;ds=GKoFmbWoznfkzC0v" TargetMode="External"/><Relationship Id="rId173" Type="http://schemas.openxmlformats.org/officeDocument/2006/relationships/hyperlink" Target="mailto:Elvie.dofitas08@gmail.com" TargetMode="External"/><Relationship Id="rId294" Type="http://schemas.openxmlformats.org/officeDocument/2006/relationships/hyperlink" Target="https://admin.booking.com/hotel/hoteladmin/extranet_ng/manage/home.html?hotel_id=10615412&amp;ses=76a12ded010144b8d35db3bc8a9efcb3&amp;lang=xu&amp;hotel_account_id=15487701" TargetMode="External"/><Relationship Id="rId179" Type="http://schemas.openxmlformats.org/officeDocument/2006/relationships/hyperlink" Target="https://www.airbnb.com/hosting/listings/editor/1314040400314629647/details/photo-tour" TargetMode="External"/><Relationship Id="rId178" Type="http://schemas.openxmlformats.org/officeDocument/2006/relationships/hyperlink" Target="mailto:mona_beck2001@yahoo.com" TargetMode="External"/><Relationship Id="rId299" Type="http://schemas.openxmlformats.org/officeDocument/2006/relationships/hyperlink" Target="https://ycs.agoda.com/mldc/en-us/app/reporting/dashboard/45915862" TargetMode="External"/><Relationship Id="rId177" Type="http://schemas.openxmlformats.org/officeDocument/2006/relationships/hyperlink" Target="https://ycs.agoda.com/mldc/en-us/app/reporting/dashboard/68515739" TargetMode="External"/><Relationship Id="rId298" Type="http://schemas.openxmlformats.org/officeDocument/2006/relationships/hyperlink" Target="https://admin.booking.com/hotel/hoteladmin/extranet_ng/manage/home.html?hotel_account_id=15487701&amp;ses=76a12ded010144b8d35db3bc8a9efcb3&amp;lang=xu&amp;hotel_id=10769957" TargetMode="External"/><Relationship Id="rId198" Type="http://schemas.openxmlformats.org/officeDocument/2006/relationships/hyperlink" Target="mailto:n_pison@yahoo.com" TargetMode="External"/><Relationship Id="rId197" Type="http://schemas.openxmlformats.org/officeDocument/2006/relationships/hyperlink" Target="https://www.agoda.com/u2-spacious-1br-retreat/hotel/iloilo-ph.html?hotel_id=68515790&amp;ds=Pqpv9ubB85m68Ltp" TargetMode="External"/><Relationship Id="rId196" Type="http://schemas.openxmlformats.org/officeDocument/2006/relationships/hyperlink" Target="https://admin.booking.com/hotel/hoteladmin/extranet_ng/manage/home.html?hotel_account_id=15487701&amp;ses=76a12ded010144b8d35db3bc8a9efcb3&amp;lang=xu&amp;hotel_id=12527718" TargetMode="External"/><Relationship Id="rId195" Type="http://schemas.openxmlformats.org/officeDocument/2006/relationships/hyperlink" Target="https://www.airbnb.com/hosting/listings/editor/1206832186178500110/details/photo-tour" TargetMode="External"/><Relationship Id="rId199" Type="http://schemas.openxmlformats.org/officeDocument/2006/relationships/hyperlink" Target="https://www.airbnb.com/hosting/listings/editor/1223066482370679723/details/photo-tour" TargetMode="External"/><Relationship Id="rId150" Type="http://schemas.openxmlformats.org/officeDocument/2006/relationships/hyperlink" Target="https://www.airbnb.com/hosting/listings/editor/1373910226488380974/details/photo-tour" TargetMode="External"/><Relationship Id="rId271" Type="http://schemas.openxmlformats.org/officeDocument/2006/relationships/hyperlink" Target="mailto:leyson37@gmail.com" TargetMode="External"/><Relationship Id="rId392" Type="http://schemas.openxmlformats.org/officeDocument/2006/relationships/hyperlink" Target="https://admin.booking.com/hotel/hoteladmin/extranet_ng/manage/home.html?hotel_id=11529739&amp;ses=76a12ded010144b8d35db3bc8a9efcb3&amp;lang=xu&amp;hotel_account_id=15487701" TargetMode="External"/><Relationship Id="rId270" Type="http://schemas.openxmlformats.org/officeDocument/2006/relationships/hyperlink" Target="https://www.agoda.com/n2-sleek-urban-escape/hotel/iloilo-ph.html?hotel_id=55834014&amp;ds=GKoFmbWoznfkzC0v" TargetMode="External"/><Relationship Id="rId391" Type="http://schemas.openxmlformats.org/officeDocument/2006/relationships/hyperlink" Target="https://www.airbnb.com/hosting/listings/editor/1073025331453501434/details/photo-tour" TargetMode="External"/><Relationship Id="rId390" Type="http://schemas.openxmlformats.org/officeDocument/2006/relationships/hyperlink" Target="https://drive.google.com/file/d/1FlexAsJfcc9FR-b5dV7C0SY-fpdyQ1VB/view?usp=drive_link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jancupidmusa@gmail.com" TargetMode="External"/><Relationship Id="rId3" Type="http://schemas.openxmlformats.org/officeDocument/2006/relationships/hyperlink" Target="https://drive.google.com/file/d/1zL18AQbGngMaepVpE9uy5zxGUBGMaVwj/view?usp=drive_link" TargetMode="External"/><Relationship Id="rId149" Type="http://schemas.openxmlformats.org/officeDocument/2006/relationships/hyperlink" Target="https://drive.google.com/file/d/1lmuefpcYTtJU05QT_jYjfJc_0JCQFfTt/view?usp=drive_link" TargetMode="External"/><Relationship Id="rId4" Type="http://schemas.openxmlformats.org/officeDocument/2006/relationships/hyperlink" Target="https://www.airbnb.com/hosting/listings/editor/1406881059092791365/details/photo-tour" TargetMode="External"/><Relationship Id="rId148" Type="http://schemas.openxmlformats.org/officeDocument/2006/relationships/hyperlink" Target="mailto:emilybelicena@gmail.com" TargetMode="External"/><Relationship Id="rId269" Type="http://schemas.openxmlformats.org/officeDocument/2006/relationships/hyperlink" Target="https://admin.booking.com/hotel/hoteladmin/extranet_ng/manage/home.html?hotel_id=12012580&amp;lang=xu&amp;hotel_account_id=15487701&amp;ses=76a12ded010144b8d35db3bc8a9efcb3" TargetMode="External"/><Relationship Id="rId9" Type="http://schemas.openxmlformats.org/officeDocument/2006/relationships/hyperlink" Target="https://ycs.agoda.com/mldc/en-us/app/reporting/dashboard/45262513" TargetMode="External"/><Relationship Id="rId143" Type="http://schemas.openxmlformats.org/officeDocument/2006/relationships/hyperlink" Target="mailto:emilybelicena@gmail.com" TargetMode="External"/><Relationship Id="rId264" Type="http://schemas.openxmlformats.org/officeDocument/2006/relationships/hyperlink" Target="https://www.airbnb.com/hosting/listings/editor/1148339311779893345/details/photo-tour" TargetMode="External"/><Relationship Id="rId385" Type="http://schemas.openxmlformats.org/officeDocument/2006/relationships/hyperlink" Target="https://www.airbnb.com/hosting/listings/editor/1402764257844697363/details/photo-tour" TargetMode="External"/><Relationship Id="rId142" Type="http://schemas.openxmlformats.org/officeDocument/2006/relationships/hyperlink" Target="https://ycs.agoda.com/mldc/en-us/app/reporting/dashboard/72422191" TargetMode="External"/><Relationship Id="rId263" Type="http://schemas.openxmlformats.org/officeDocument/2006/relationships/hyperlink" Target="mailto:leyson37@gmail.com" TargetMode="External"/><Relationship Id="rId384" Type="http://schemas.openxmlformats.org/officeDocument/2006/relationships/hyperlink" Target="https://drive.google.com/file/d/1kyMDUOR4tREiuynG4mYaJEwgBxda6nEz/view?usp=drive_link" TargetMode="External"/><Relationship Id="rId141" Type="http://schemas.openxmlformats.org/officeDocument/2006/relationships/hyperlink" Target="https://admin.booking.com/hotel/hoteladmin/extranet_ng/manage/home.html?ses=76a12ded010144b8d35db3bc8a9efcb3&amp;lang=xu&amp;hotel_account_id=15487701&amp;hotel_id=13734112" TargetMode="External"/><Relationship Id="rId262" Type="http://schemas.openxmlformats.org/officeDocument/2006/relationships/hyperlink" Target="https://ycs.agoda.com/mldc/en-us/app/reporting/dashboard/45260915" TargetMode="External"/><Relationship Id="rId383" Type="http://schemas.openxmlformats.org/officeDocument/2006/relationships/hyperlink" Target="mailto:robkar9@yahoo.com.ph" TargetMode="External"/><Relationship Id="rId140" Type="http://schemas.openxmlformats.org/officeDocument/2006/relationships/hyperlink" Target="https://www.airbnb.com/hosting/listings/editor/1365140752338951002/details/photo-tour" TargetMode="External"/><Relationship Id="rId261" Type="http://schemas.openxmlformats.org/officeDocument/2006/relationships/hyperlink" Target="https://admin.booking.com/hotel/hoteladmin/extranet_ng/manage/home.html?lang=xu&amp;hotel_account_id=15487701&amp;hotel_id=10264324&amp;ses=76a12ded010144b8d35db3bc8a9efcb3" TargetMode="External"/><Relationship Id="rId382" Type="http://schemas.openxmlformats.org/officeDocument/2006/relationships/hyperlink" Target="https://admin.booking.com/hotel/hoteladmin/extranet_ng/manage/home.html?hotel_account_id=15487701&amp;hotel_id=14005465&amp;lang=xu&amp;ses=077f0355f225198545ac0c6aeb1f1df5" TargetMode="External"/><Relationship Id="rId5" Type="http://schemas.openxmlformats.org/officeDocument/2006/relationships/hyperlink" Target="https://admin.booking.com/hotel/hoteladmin/extranet_ng/manage/home.html?hotel_id=14034212&amp;lang=xu&amp;ses=077f0355f225198545ac0c6aeb1f1df5&amp;hotel_account_id=15487701" TargetMode="External"/><Relationship Id="rId147" Type="http://schemas.openxmlformats.org/officeDocument/2006/relationships/hyperlink" Target="https://ycs.agoda.com/mldc/en-us/app/reporting/dashboard/68515699" TargetMode="External"/><Relationship Id="rId268" Type="http://schemas.openxmlformats.org/officeDocument/2006/relationships/hyperlink" Target="https://www.airbnb.com/hosting/listings/editor/1148348619538609736/details/photo-tour" TargetMode="External"/><Relationship Id="rId389" Type="http://schemas.openxmlformats.org/officeDocument/2006/relationships/hyperlink" Target="http://admin.booking.com/hotel/hoteladmin/extranet_ng/manage/home.html?ses=76a12ded010144b8d35db3bc8a9efcb3&amp;hotel_id=14121652&amp;lang=xu&amp;hotel_account_id=15487701" TargetMode="External"/><Relationship Id="rId6" Type="http://schemas.openxmlformats.org/officeDocument/2006/relationships/hyperlink" Target="https://ycs.agoda.com/mldc/en-us/app/reporting/dashboard/72422180" TargetMode="External"/><Relationship Id="rId146" Type="http://schemas.openxmlformats.org/officeDocument/2006/relationships/hyperlink" Target="https://admin.booking.com/hotel/hoteladmin/extranet_ng/manage/home.html?hotel_id=14160257&amp;lang=xu&amp;hotel_account_id=15487701&amp;ses=76a12ded010144b8d35db3bc8a9efcb3" TargetMode="External"/><Relationship Id="rId267" Type="http://schemas.openxmlformats.org/officeDocument/2006/relationships/hyperlink" Target="mailto:leyson37@gmail.com" TargetMode="External"/><Relationship Id="rId388" Type="http://schemas.openxmlformats.org/officeDocument/2006/relationships/hyperlink" Target="https://www.airbnb.com/hosting/listings/editor/1412662371655240994/details/photo-tour" TargetMode="External"/><Relationship Id="rId7" Type="http://schemas.openxmlformats.org/officeDocument/2006/relationships/hyperlink" Target="https://www.airbnb.com/hosting/listings/editor/917810494057513563/details/photo-tour" TargetMode="External"/><Relationship Id="rId145" Type="http://schemas.openxmlformats.org/officeDocument/2006/relationships/hyperlink" Target="https://www.airbnb.com/hosting/listings/editor/1373599968303357330/details/photo-tour" TargetMode="External"/><Relationship Id="rId266" Type="http://schemas.openxmlformats.org/officeDocument/2006/relationships/hyperlink" Target="https://www.agoda.com/m2-minimalist-and-cozy-studio/hotel/iloilo-ph.html?hotel_id=55824556&amp;ds=GKoFmbWoznfkzC0v" TargetMode="External"/><Relationship Id="rId387" Type="http://schemas.openxmlformats.org/officeDocument/2006/relationships/hyperlink" Target="mailto:geneselat@yahoo.com" TargetMode="External"/><Relationship Id="rId8" Type="http://schemas.openxmlformats.org/officeDocument/2006/relationships/hyperlink" Target="https://admin.booking.com/hotel/hoteladmin/extranet_ng/manage/home.html?lang=xu&amp;hotel_account_id=15487701&amp;hotel_id=10378008&amp;ses=76a12ded010144b8d35db3bc8a9efcb3" TargetMode="External"/><Relationship Id="rId144" Type="http://schemas.openxmlformats.org/officeDocument/2006/relationships/hyperlink" Target="https://drive.google.com/file/d/1UjrDg3i6gtgAZO1HRnq5nvWBPTIkjibL/view?usp=drive_link" TargetMode="External"/><Relationship Id="rId265" Type="http://schemas.openxmlformats.org/officeDocument/2006/relationships/hyperlink" Target="https://admin.booking.com/hotel/hoteladmin/extranet_ng/manage/home.html?ses=76a12ded010144b8d35db3bc8a9efcb3&amp;lang=xu&amp;hotel_account_id=15487701&amp;hotel_id=12084432" TargetMode="External"/><Relationship Id="rId386" Type="http://schemas.openxmlformats.org/officeDocument/2006/relationships/hyperlink" Target="https://admin.booking.com/hotel/hoteladmin/extranet_ng/manage/home.html?lang=xu&amp;hotel_id=14005541&amp;ses=077f0355f225198545ac0c6aeb1f1df5&amp;hotel_account_id=15487701" TargetMode="External"/><Relationship Id="rId260" Type="http://schemas.openxmlformats.org/officeDocument/2006/relationships/hyperlink" Target="https://www.airbnb.com/hosting/listings/editor/914175156353769277/details/photo-tour" TargetMode="External"/><Relationship Id="rId381" Type="http://schemas.openxmlformats.org/officeDocument/2006/relationships/hyperlink" Target="https://www.airbnb.com/hosting/listings/editor/1399874193837021918/details/photo-tour" TargetMode="External"/><Relationship Id="rId380" Type="http://schemas.openxmlformats.org/officeDocument/2006/relationships/hyperlink" Target="https://drive.google.com/file/d/1enK-gpV9ToiDuM0un65G03QOVfuyDwGI/view?usp=drive_link" TargetMode="External"/><Relationship Id="rId139" Type="http://schemas.openxmlformats.org/officeDocument/2006/relationships/hyperlink" Target="https://drive.google.com/file/d/1mdSNqtNyXrxRw_WqUTNOHHKxR6mNYFEh/view?usp=drive_link" TargetMode="External"/><Relationship Id="rId138" Type="http://schemas.openxmlformats.org/officeDocument/2006/relationships/hyperlink" Target="https://ycs.agoda.com/mldc/en-us/app/reporting/dashboard/68515748" TargetMode="External"/><Relationship Id="rId259" Type="http://schemas.openxmlformats.org/officeDocument/2006/relationships/hyperlink" Target="https://www.agoda.com/j-travellers-choice-2023/hotel/iloilo-ph.html?hotel_id=45259895&amp;ds=GKoFmbWoznfkzC0v" TargetMode="External"/><Relationship Id="rId137" Type="http://schemas.openxmlformats.org/officeDocument/2006/relationships/hyperlink" Target="https://admin.booking.com/hotel/hoteladmin/extranet_ng/manage/home.html?ses=76a12ded010144b8d35db3bc8a9efcb3&amp;hotel_id=12991624&amp;lang=xu&amp;hotel_account_id=15487701" TargetMode="External"/><Relationship Id="rId258" Type="http://schemas.openxmlformats.org/officeDocument/2006/relationships/hyperlink" Target="https://admin.booking.com/hotel/hoteladmin/extranet_ng/manage/home.html?lang=xu&amp;ses=76a12ded010144b8d35db3bc8a9efcb3&amp;hotel_account_id=15487701&amp;hotel_id=10237981" TargetMode="External"/><Relationship Id="rId379" Type="http://schemas.openxmlformats.org/officeDocument/2006/relationships/hyperlink" Target="mailto:svghbatch7@gmail.com" TargetMode="External"/><Relationship Id="rId132" Type="http://schemas.openxmlformats.org/officeDocument/2006/relationships/hyperlink" Target="https://www.airbnb.com/hosting/listings/editor/1263660880392342461/details/photo-tour" TargetMode="External"/><Relationship Id="rId253" Type="http://schemas.openxmlformats.org/officeDocument/2006/relationships/hyperlink" Target="https://www.airbnb.com/hosting/listings/editor/1061390588709926280/details/photo-tour" TargetMode="External"/><Relationship Id="rId374" Type="http://schemas.openxmlformats.org/officeDocument/2006/relationships/hyperlink" Target="https://admin.booking.com/hotel/hoteladmin/extranet_ng/manage/home.html?lang=xu&amp;hotel_id=13733887&amp;ses=077f0355f225198545ac0c6aeb1f1df5&amp;hotel_account_id=15487701" TargetMode="External"/><Relationship Id="rId131" Type="http://schemas.openxmlformats.org/officeDocument/2006/relationships/hyperlink" Target="mailto:dimple_email2@yahoo.com" TargetMode="External"/><Relationship Id="rId252" Type="http://schemas.openxmlformats.org/officeDocument/2006/relationships/hyperlink" Target="https://www.agoda.com/b3-chic-sunset-studio-escape/hotel/iloilo-ph.html?hotel_id=68515735&amp;ds=gy6KwxanO%2BFyCBMp" TargetMode="External"/><Relationship Id="rId373" Type="http://schemas.openxmlformats.org/officeDocument/2006/relationships/hyperlink" Target="https://www.airbnb.com/hosting/listings/editor/1361839742680517161/details/photo-tour" TargetMode="External"/><Relationship Id="rId130" Type="http://schemas.openxmlformats.org/officeDocument/2006/relationships/hyperlink" Target="https://ycs.agoda.com/mldc/en-us/app/reporting/dashboard/68515763" TargetMode="External"/><Relationship Id="rId251" Type="http://schemas.openxmlformats.org/officeDocument/2006/relationships/hyperlink" Target="https://admin.booking.com/hotel/hoteladmin/extranet_ng/manage/home.html?hotel_id=13375702&amp;hotel_account_id=15487701&amp;ses=077f0355f225198545ac0c6aeb1f1df5&amp;lang=xu" TargetMode="External"/><Relationship Id="rId372" Type="http://schemas.openxmlformats.org/officeDocument/2006/relationships/hyperlink" Target="https://admin.booking.com/hotel/hoteladmin/extranet_ng/manage/home.html?lang=xu&amp;hotel_id=13619062&amp;hotel_account_id=15487701&amp;ses=077f0355f225198545ac0c6aeb1f1df5" TargetMode="External"/><Relationship Id="rId250" Type="http://schemas.openxmlformats.org/officeDocument/2006/relationships/hyperlink" Target="https://www.airbnb.com/hosting/listings/editor/1293204330226635181/details/photo-tour" TargetMode="External"/><Relationship Id="rId371" Type="http://schemas.openxmlformats.org/officeDocument/2006/relationships/hyperlink" Target="https://www.airbnb.com/hosting/listings/editor/1354835232584889033/details/photo-tour" TargetMode="External"/><Relationship Id="rId136" Type="http://schemas.openxmlformats.org/officeDocument/2006/relationships/hyperlink" Target="https://www.airbnb.com/hosting/listings/editor/1272702617639828408/details/photo-tour" TargetMode="External"/><Relationship Id="rId257" Type="http://schemas.openxmlformats.org/officeDocument/2006/relationships/hyperlink" Target="https://www.airbnb.com/hosting/listings/editor/909625870505679570/details/photo-tour" TargetMode="External"/><Relationship Id="rId378" Type="http://schemas.openxmlformats.org/officeDocument/2006/relationships/hyperlink" Target="https://admin.booking.com/hotel/hoteladmin/extranet_ng/manage/home.html?hotel_id=14156698&amp;hotel_account_id=15487701&amp;lang=xu&amp;ses=76a12ded010144b8d35db3bc8a9efcb3" TargetMode="External"/><Relationship Id="rId135" Type="http://schemas.openxmlformats.org/officeDocument/2006/relationships/hyperlink" Target="https://drive.google.com/file/d/1H4D7XqVYx-qZQwvl1TzuR_VJrJtZcF5t/view?usp=drive_link" TargetMode="External"/><Relationship Id="rId256" Type="http://schemas.openxmlformats.org/officeDocument/2006/relationships/hyperlink" Target="https://admin.booking.com/hotel/hoteladmin/extranet_ng/manage/home.html?hotel_account_id=15487701&amp;hotel_id=10123695&amp;lang=xu&amp;ses=76a12ded010144b8d35db3bc8a9efcb3" TargetMode="External"/><Relationship Id="rId377" Type="http://schemas.openxmlformats.org/officeDocument/2006/relationships/hyperlink" Target="https://www.airbnb.com/hosting/listings/editor/1392300803148588195/details/photo-tour" TargetMode="External"/><Relationship Id="rId134" Type="http://schemas.openxmlformats.org/officeDocument/2006/relationships/hyperlink" Target="https://ycs.agoda.com/mldc/en-us/app/reporting/dashboard/68515753" TargetMode="External"/><Relationship Id="rId255" Type="http://schemas.openxmlformats.org/officeDocument/2006/relationships/hyperlink" Target="https://www.airbnb.com/hosting/listings/editor/892593662896691657/details/photo-tour" TargetMode="External"/><Relationship Id="rId376" Type="http://schemas.openxmlformats.org/officeDocument/2006/relationships/hyperlink" Target="https://drive.google.com/file/d/1RFfjPOi4Sr8fFZWAbhEHDe75SZkWAkoO/view?usp=drive_link" TargetMode="External"/><Relationship Id="rId133" Type="http://schemas.openxmlformats.org/officeDocument/2006/relationships/hyperlink" Target="https://admin.booking.com/hotel/hoteladmin/extranet_ng/manage/home.html?hotel_account_id=15487701&amp;ses=76a12ded010144b8d35db3bc8a9efcb3&amp;lang=xu&amp;hotel_id=12991388" TargetMode="External"/><Relationship Id="rId254" Type="http://schemas.openxmlformats.org/officeDocument/2006/relationships/hyperlink" Target="https://admin.booking.com/hotel/hoteladmin/extranet_ng/manage/home.html?lang=xu&amp;hotel_account_id=15487701&amp;ses=76a12ded010144b8d35db3bc8a9efcb3&amp;hotel_id=11373986" TargetMode="External"/><Relationship Id="rId375" Type="http://schemas.openxmlformats.org/officeDocument/2006/relationships/hyperlink" Target="mailto:juradadanmark8888@gmail.com" TargetMode="External"/><Relationship Id="rId172" Type="http://schemas.openxmlformats.org/officeDocument/2006/relationships/hyperlink" Target="https://ycs.agoda.com/mldc/en-us/app/reporting/dashboard/68515788" TargetMode="External"/><Relationship Id="rId293" Type="http://schemas.openxmlformats.org/officeDocument/2006/relationships/hyperlink" Target="https://www.airbnb.com/hosting/listings/editor/945834952396512415/details/photo-tour" TargetMode="External"/><Relationship Id="rId171" Type="http://schemas.openxmlformats.org/officeDocument/2006/relationships/hyperlink" Target="https://admin.booking.com/hotel/hoteladmin/extranet_ng/manage/home.html?ses=76a12ded010144b8d35db3bc8a9efcb3&amp;lang=xu&amp;hotel_id=12637421&amp;hotel_account_id=15487701" TargetMode="External"/><Relationship Id="rId292" Type="http://schemas.openxmlformats.org/officeDocument/2006/relationships/hyperlink" Target="mailto:n_pison@yahoo.com" TargetMode="External"/><Relationship Id="rId170" Type="http://schemas.openxmlformats.org/officeDocument/2006/relationships/hyperlink" Target="https://www.airbnb.com/hosting/listings/editor/1213621469535606192/details/photo-tour" TargetMode="External"/><Relationship Id="rId291" Type="http://schemas.openxmlformats.org/officeDocument/2006/relationships/hyperlink" Target="https://admin.booking.com/hotel/hoteladmin/extranet_ng/manage/home.html?hotel_account_id=15487701&amp;hotel_id=10012176&amp;ses=76a12ded010144b8d35db3bc8a9efcb3&amp;lang=xu" TargetMode="External"/><Relationship Id="rId290" Type="http://schemas.openxmlformats.org/officeDocument/2006/relationships/hyperlink" Target="https://www.airbnb.com/hosting/listings/editor/883078172823811193/details/photo-tour" TargetMode="External"/><Relationship Id="rId165" Type="http://schemas.openxmlformats.org/officeDocument/2006/relationships/hyperlink" Target="https://www.airbnb.com/hosting/listings/editor/1194043489262665886/details/photo-tour" TargetMode="External"/><Relationship Id="rId286" Type="http://schemas.openxmlformats.org/officeDocument/2006/relationships/hyperlink" Target="https://www.airbnb.com/hosting/listings/editor/1266936581574618902/details/photo-tour" TargetMode="External"/><Relationship Id="rId164" Type="http://schemas.openxmlformats.org/officeDocument/2006/relationships/hyperlink" Target="https://drive.google.com/file/d/16P3GhHp7diNJCy1gcPeLDEYaiobxvp6r/view?usp=drive_link" TargetMode="External"/><Relationship Id="rId285" Type="http://schemas.openxmlformats.org/officeDocument/2006/relationships/hyperlink" Target="mailto:cyn8684@gmail.com" TargetMode="External"/><Relationship Id="rId163" Type="http://schemas.openxmlformats.org/officeDocument/2006/relationships/hyperlink" Target="https://ycs.agoda.com/mldc/en-us/app/reporting/dashboard/55824457" TargetMode="External"/><Relationship Id="rId284" Type="http://schemas.openxmlformats.org/officeDocument/2006/relationships/hyperlink" Target="https://www.agoda.com/x2-urban-zen-studio/hotel/iloilo-ph.html?hotel_id=68515774&amp;ds=Pqpv9ubB85m68Ltp" TargetMode="External"/><Relationship Id="rId162" Type="http://schemas.openxmlformats.org/officeDocument/2006/relationships/hyperlink" Target="https://admin.booking.com/hotel/hoteladmin/extranet_ng/manage/home.html?hotel_id=12080095&amp;hotel_account_id=15487701&amp;ses=76a12ded010144b8d35db3bc8a9efcb3&amp;lang=xu" TargetMode="External"/><Relationship Id="rId283" Type="http://schemas.openxmlformats.org/officeDocument/2006/relationships/hyperlink" Target="https://admin.booking.com/hotel/hoteladmin/extranet_ng/manage/home.html?ses=76a12ded010144b8d35db3bc8a9efcb3&amp;hotel_account_id=15487701&amp;hotel_id=12842806&amp;lang=xu" TargetMode="External"/><Relationship Id="rId169" Type="http://schemas.openxmlformats.org/officeDocument/2006/relationships/hyperlink" Target="https://drive.google.com/file/d/1B-UTNRAz5D3jblTBjQEGxxammYoVYpo5/view?usp=drive_link" TargetMode="External"/><Relationship Id="rId168" Type="http://schemas.openxmlformats.org/officeDocument/2006/relationships/hyperlink" Target="mailto:tan_albert71@yahoo.com" TargetMode="External"/><Relationship Id="rId289" Type="http://schemas.openxmlformats.org/officeDocument/2006/relationships/hyperlink" Target="mailto:n_pison@yahoo.com" TargetMode="External"/><Relationship Id="rId167" Type="http://schemas.openxmlformats.org/officeDocument/2006/relationships/hyperlink" Target="https://ycs.agoda.com/mldc/en-us/app/reporting/dashboard/59122983" TargetMode="External"/><Relationship Id="rId288" Type="http://schemas.openxmlformats.org/officeDocument/2006/relationships/hyperlink" Target="https://www.agoda.com/z2-modern-zen-hideaway-h68515751/hotel/iloilo-ph.html?hotel_id=68515751&amp;ds=Pqpv9ubB85m68Ltp" TargetMode="External"/><Relationship Id="rId166" Type="http://schemas.openxmlformats.org/officeDocument/2006/relationships/hyperlink" Target="https://admin.booking.com/hotel/hoteladmin/extranet_ng/manage/home.html?hotel_id=12427860&amp;ses=76a12ded010144b8d35db3bc8a9efcb3&amp;lang=xu&amp;hotel_account_id=15487701" TargetMode="External"/><Relationship Id="rId287" Type="http://schemas.openxmlformats.org/officeDocument/2006/relationships/hyperlink" Target="https://admin.booking.com/hotel/hoteladmin/extranet_ng/manage/home.html?hotel_id=12991347&amp;lang=xu&amp;ses=077f0355f225198545ac0c6aeb1f1df5&amp;hotel_account_id=15487701" TargetMode="External"/><Relationship Id="rId161" Type="http://schemas.openxmlformats.org/officeDocument/2006/relationships/hyperlink" Target="https://www.airbnb.com/hosting/listings/editor/1157147347991671024/details/photo-tour" TargetMode="External"/><Relationship Id="rId282" Type="http://schemas.openxmlformats.org/officeDocument/2006/relationships/hyperlink" Target="https://www.airbnb.com/hosting/listings/editor/1228143697513677237/details/photo-tour" TargetMode="External"/><Relationship Id="rId160" Type="http://schemas.openxmlformats.org/officeDocument/2006/relationships/hyperlink" Target="https://drive.google.com/file/d/17IFWebBwS3wI6ITSlYHrm8lbt7TY9Jip/view?usp=drive_link" TargetMode="External"/><Relationship Id="rId281" Type="http://schemas.openxmlformats.org/officeDocument/2006/relationships/hyperlink" Target="mailto:Ceee_m@yahoo.com" TargetMode="External"/><Relationship Id="rId280" Type="http://schemas.openxmlformats.org/officeDocument/2006/relationships/hyperlink" Target="https://www.agoda.com/w2-cozy-urban-nest-h68515777/hotel/iloilo-ph.html?hotel_id=68515777&amp;ds=Pqpv9ubB85m68Ltp" TargetMode="External"/><Relationship Id="rId159" Type="http://schemas.openxmlformats.org/officeDocument/2006/relationships/hyperlink" Target="mailto:rjjavellana67@yahoo.com" TargetMode="External"/><Relationship Id="rId154" Type="http://schemas.openxmlformats.org/officeDocument/2006/relationships/hyperlink" Target="https://admin.booking.com/hotel/hoteladmin/extranet_ng/manage/home.html?hotel_id=14253399&amp;lang=xu&amp;hotel_account_id=15487701&amp;ses=76a12ded010144b8d35db3bc8a9efcb3" TargetMode="External"/><Relationship Id="rId275" Type="http://schemas.openxmlformats.org/officeDocument/2006/relationships/hyperlink" Target="https://www.airbnb.com/hosting/listings/editor/1000642412517733303/view-your-space" TargetMode="External"/><Relationship Id="rId396" Type="http://schemas.openxmlformats.org/officeDocument/2006/relationships/hyperlink" Target="https://www.agoda.com/wv-3-peaceful-pinnacle/hotel/iloilo-ph.html?hotel_id=55790652&amp;ds=Pqpv9ubB85m68Ltp" TargetMode="External"/><Relationship Id="rId153" Type="http://schemas.openxmlformats.org/officeDocument/2006/relationships/hyperlink" Target="https://www.airbnb.com/hosting/listings/editor/1429517940296906898/view-your-space" TargetMode="External"/><Relationship Id="rId274" Type="http://schemas.openxmlformats.org/officeDocument/2006/relationships/hyperlink" Target="https://www.agoda.com/o2-urban-zen-retreat/hotel/iloilo-ph.html?hotel_id=55834029&amp;ds=GKoFmbWoznfkzC0v" TargetMode="External"/><Relationship Id="rId395" Type="http://schemas.openxmlformats.org/officeDocument/2006/relationships/hyperlink" Target="https://admin.booking.com/hotel/hoteladmin/extranet_ng/manage/home.html?hotel_account_id=15487701&amp;hotel_id=11498335&amp;lang=xu&amp;ses=76a12ded010144b8d35db3bc8a9efcb3" TargetMode="External"/><Relationship Id="rId152" Type="http://schemas.openxmlformats.org/officeDocument/2006/relationships/hyperlink" Target="https://ycs.agoda.com/mldc/en-us/app/reporting/dashboard/68515698" TargetMode="External"/><Relationship Id="rId273" Type="http://schemas.openxmlformats.org/officeDocument/2006/relationships/hyperlink" Target="https://admin.booking.com/hotel/hoteladmin/extranet_ng/manage/home.html?hotel_account_id=15487701&amp;lang=xu&amp;hotel_id=12040343&amp;ses=76a12ded010144b8d35db3bc8a9efcb3" TargetMode="External"/><Relationship Id="rId394" Type="http://schemas.openxmlformats.org/officeDocument/2006/relationships/hyperlink" Target="https://www.airbnb.com/hosting/listings/editor/1084577348277453538/details/photo-tour" TargetMode="External"/><Relationship Id="rId151" Type="http://schemas.openxmlformats.org/officeDocument/2006/relationships/hyperlink" Target="https://admin.booking.com/hotel/hoteladmin/extranet_ng/manage/home.html?hotel_id=14164771&amp;ses=76a12ded010144b8d35db3bc8a9efcb3&amp;lang=xu&amp;hotel_account_id=15487701" TargetMode="External"/><Relationship Id="rId272" Type="http://schemas.openxmlformats.org/officeDocument/2006/relationships/hyperlink" Target="https://www.airbnb.com/hosting/listings/editor/1148359820296094916/details/photo-tour" TargetMode="External"/><Relationship Id="rId393" Type="http://schemas.openxmlformats.org/officeDocument/2006/relationships/hyperlink" Target="mailto:subong_rhea@yahoo.com" TargetMode="External"/><Relationship Id="rId158" Type="http://schemas.openxmlformats.org/officeDocument/2006/relationships/hyperlink" Target="https://ycs.agoda.com/mldc/en-us/app/reporting/dashboard/55811589" TargetMode="External"/><Relationship Id="rId279" Type="http://schemas.openxmlformats.org/officeDocument/2006/relationships/hyperlink" Target="https://admin.booking.com/hotel/hoteladmin/extranet_ng/manage/home.html?ses=76a12ded010144b8d35db3bc8a9efcb3&amp;lang=xu&amp;hotel_id=12837148&amp;hotel_account_id=15487701" TargetMode="External"/><Relationship Id="rId157" Type="http://schemas.openxmlformats.org/officeDocument/2006/relationships/hyperlink" Target="https://admin.booking.com/hotel/hoteladmin/extranet_ng/manage/home.html?hotel_account_id=15487701&amp;hotel_id=12062967&amp;lang=xu&amp;ses=76a12ded010144b8d35db3bc8a9efcb3" TargetMode="External"/><Relationship Id="rId278" Type="http://schemas.openxmlformats.org/officeDocument/2006/relationships/hyperlink" Target="https://www.airbnb.com/hosting/listings/editor/1228084659425799756/details/photo-tour" TargetMode="External"/><Relationship Id="rId399" Type="http://schemas.openxmlformats.org/officeDocument/2006/relationships/hyperlink" Target="https://admin.booking.com/hotel/hoteladmin/extranet_ng/manage/home.html?hotel_id=12007397&amp;lang=xu&amp;ses=76a12ded010144b8d35db3bc8a9efcb3&amp;hotel_account_id=15487701" TargetMode="External"/><Relationship Id="rId156" Type="http://schemas.openxmlformats.org/officeDocument/2006/relationships/hyperlink" Target="https://www.airbnb.com/hosting/listings/editor/1150615852129280372/view-your-space" TargetMode="External"/><Relationship Id="rId277" Type="http://schemas.openxmlformats.org/officeDocument/2006/relationships/hyperlink" Target="mailto:Ceee_m@yahoo.com" TargetMode="External"/><Relationship Id="rId398" Type="http://schemas.openxmlformats.org/officeDocument/2006/relationships/hyperlink" Target="https://www.airbnb.com/hosting/listings/editor/1142509869213798365/details/photo-tour/https://www.airbnb.com/hosting/listings/editor/1244432759517650370/details/photo-tour" TargetMode="External"/><Relationship Id="rId155" Type="http://schemas.openxmlformats.org/officeDocument/2006/relationships/hyperlink" Target="https://ycs.agoda.com/mldc/en-us/app/reporting/dashboard/74596383" TargetMode="External"/><Relationship Id="rId276" Type="http://schemas.openxmlformats.org/officeDocument/2006/relationships/hyperlink" Target="https://admin.booking.com/hotel/hoteladmin/extranet_ng/manage/home.html?hotel_id=10910920&amp;lang=xu&amp;hotel_account_id=15487701&amp;ses=76a12ded010144b8d35db3bc8a9efcb3" TargetMode="External"/><Relationship Id="rId397" Type="http://schemas.openxmlformats.org/officeDocument/2006/relationships/hyperlink" Target="https://drive.google.com/file/d/1oU0kJLq2EBSG6U_Sye1azTKJJrhmuB2s/view?usp=drive_link" TargetMode="External"/><Relationship Id="rId40" Type="http://schemas.openxmlformats.org/officeDocument/2006/relationships/hyperlink" Target="https://admin.booking.com/hotel/hoteladmin/extranet_ng/manage/home.html?hotel_id=14165107&amp;hotel_account_id=15487701&amp;ses=76a12ded010144b8d35db3bc8a9efcb3&amp;lang=xu" TargetMode="External"/><Relationship Id="rId42" Type="http://schemas.openxmlformats.org/officeDocument/2006/relationships/hyperlink" Target="mailto:Uy_ramel@yahoo.com" TargetMode="External"/><Relationship Id="rId41" Type="http://schemas.openxmlformats.org/officeDocument/2006/relationships/hyperlink" Target="https://ycs.agoda.com/mldc/en-us/app/reporting/dashboard/68515696" TargetMode="External"/><Relationship Id="rId44" Type="http://schemas.openxmlformats.org/officeDocument/2006/relationships/hyperlink" Target="https://admin.booking.com/hotel/hoteladmin/extranet_ng/manage/home.html?ses=76a12ded010144b8d35db3bc8a9efcb3&amp;lang=xu&amp;hotel_account_id=15487701&amp;hotel_id=13380599" TargetMode="External"/><Relationship Id="rId43" Type="http://schemas.openxmlformats.org/officeDocument/2006/relationships/hyperlink" Target="https://www.airbnb.com/hosting/listings/editor/1317820612780568662/details/photo-tour" TargetMode="External"/><Relationship Id="rId46" Type="http://schemas.openxmlformats.org/officeDocument/2006/relationships/hyperlink" Target="mailto:preciousfematorres@gmail.com" TargetMode="External"/><Relationship Id="rId45" Type="http://schemas.openxmlformats.org/officeDocument/2006/relationships/hyperlink" Target="https://ycs.agoda.com/mldc/en-us/app/reporting/dashboard/68515726" TargetMode="External"/><Relationship Id="rId48" Type="http://schemas.openxmlformats.org/officeDocument/2006/relationships/hyperlink" Target="https://www.airbnb.com/hosting/listings/editor/1312659220927938574/details/photo-tour" TargetMode="External"/><Relationship Id="rId47" Type="http://schemas.openxmlformats.org/officeDocument/2006/relationships/hyperlink" Target="https://drive.google.com/file/d/1dJFjNahudpasEOGdxJvWHq6H87gfUjjN/view?usp=drive_link" TargetMode="External"/><Relationship Id="rId49" Type="http://schemas.openxmlformats.org/officeDocument/2006/relationships/hyperlink" Target="https://admin.booking.com/hotel/hoteladmin/extranet_ng/manage/home.html?hotel_account_id=15487701&amp;lang=xu&amp;ses=76a12ded010144b8d35db3bc8a9efcb3&amp;hotel_id=13379344" TargetMode="External"/><Relationship Id="rId31" Type="http://schemas.openxmlformats.org/officeDocument/2006/relationships/hyperlink" Target="https://admin.booking.com/hotel/hoteladmin/extranet_ng/manage/home.html?hotel_account_id=15487701&amp;ses=76a12ded010144b8d35db3bc8a9efcb3&amp;hotel_id=14158555&amp;lang=xu" TargetMode="External"/><Relationship Id="rId30" Type="http://schemas.openxmlformats.org/officeDocument/2006/relationships/hyperlink" Target="https://www.airbnb.com/hosting/listings/editor/1420265682528540311/details/photo-tour" TargetMode="External"/><Relationship Id="rId33" Type="http://schemas.openxmlformats.org/officeDocument/2006/relationships/hyperlink" Target="mailto:Hyacinth.9@hotmail.com" TargetMode="External"/><Relationship Id="rId32" Type="http://schemas.openxmlformats.org/officeDocument/2006/relationships/hyperlink" Target="https://ycs.agoda.com/mldc/en-us/app/reporting/dashboard/73033746" TargetMode="External"/><Relationship Id="rId35" Type="http://schemas.openxmlformats.org/officeDocument/2006/relationships/hyperlink" Target="https://admin.booking.com/hotel/hoteladmin/extranet_ng/manage/home.html?hotel_id=13619312&amp;hotel_account_id=15487701&amp;lang=xu&amp;ses=76a12ded010144b8d35db3bc8a9efcb3" TargetMode="External"/><Relationship Id="rId34" Type="http://schemas.openxmlformats.org/officeDocument/2006/relationships/hyperlink" Target="https://www.airbnb.com/hosting/listings/editor/1349508304372703955/details/photo-tour" TargetMode="External"/><Relationship Id="rId37" Type="http://schemas.openxmlformats.org/officeDocument/2006/relationships/hyperlink" Target="mailto:meres044@yahoo.com" TargetMode="External"/><Relationship Id="rId36" Type="http://schemas.openxmlformats.org/officeDocument/2006/relationships/hyperlink" Target="https://ycs.agoda.com/mldc/en-us/app/reporting/dashboard/68515707" TargetMode="External"/><Relationship Id="rId39" Type="http://schemas.openxmlformats.org/officeDocument/2006/relationships/hyperlink" Target="https://www.airbnb.com/hosting/listings/editor/1382509898032958400/details/photo-tour" TargetMode="External"/><Relationship Id="rId38" Type="http://schemas.openxmlformats.org/officeDocument/2006/relationships/hyperlink" Target="https://drive.google.com/file/d/13BSWF7PNER2CS6P06uQLdnvX9FSufCHb/view?usp=drive_link" TargetMode="External"/><Relationship Id="rId20" Type="http://schemas.openxmlformats.org/officeDocument/2006/relationships/hyperlink" Target="https://drive.google.com/file/d/1qcZJJMx0dsMVlSXHEjE1mull1oO9HqJN/view?usp=drive_link" TargetMode="External"/><Relationship Id="rId22" Type="http://schemas.openxmlformats.org/officeDocument/2006/relationships/hyperlink" Target="https://drive.google.com/file/d/1CuyXt5cGMwgw4jOMxNJA1HUifEAuCMBJ/view?usp=drive_link" TargetMode="External"/><Relationship Id="rId21" Type="http://schemas.openxmlformats.org/officeDocument/2006/relationships/hyperlink" Target="mailto:hjameprestosa@yahoo.com" TargetMode="External"/><Relationship Id="rId24" Type="http://schemas.openxmlformats.org/officeDocument/2006/relationships/hyperlink" Target="mailto:ristyd@yahoo.com" TargetMode="External"/><Relationship Id="rId23" Type="http://schemas.openxmlformats.org/officeDocument/2006/relationships/hyperlink" Target="https://www.airbnb.com/hosting/listings/editor/1241882684299256268/details/photo-tour" TargetMode="External"/><Relationship Id="rId409" Type="http://schemas.openxmlformats.org/officeDocument/2006/relationships/hyperlink" Target="https://drive.google.com/file/d/19Kjgzik9RGtvIYbWBmQUeBhVe3INHXU9/view?usp=drive_link" TargetMode="External"/><Relationship Id="rId404" Type="http://schemas.openxmlformats.org/officeDocument/2006/relationships/hyperlink" Target="https://www.agoda.com/wv-5-peaceful-abode/hotel/iloilo-ph.html?hotel_id=55790673&amp;ds=Pqpv9ubB85m68Ltp" TargetMode="External"/><Relationship Id="rId403" Type="http://schemas.openxmlformats.org/officeDocument/2006/relationships/hyperlink" Target="https://admin.booking.com/hotel/hoteladmin/extranet_ng/manage/home.html?hotel_account_id=15487701&amp;hotel_id=12007889&amp;ses=76a12ded010144b8d35db3bc8a9efcb3&amp;lang=xu" TargetMode="External"/><Relationship Id="rId402" Type="http://schemas.openxmlformats.org/officeDocument/2006/relationships/hyperlink" Target="https://www.airbnb.com/hosting/listings/editor/1142512608120228848/details/photo-tour" TargetMode="External"/><Relationship Id="rId401" Type="http://schemas.openxmlformats.org/officeDocument/2006/relationships/hyperlink" Target="https://drive.google.com/file/d/1oU0kJLq2EBSG6U_Sye1azTKJJrhmuB2s/view?usp=drive_link" TargetMode="External"/><Relationship Id="rId408" Type="http://schemas.openxmlformats.org/officeDocument/2006/relationships/hyperlink" Target="https://www.agoda.com/wv-6-simple-and-cozy/hotel/iloilo-ph.html?hotel_id=55790679&amp;ds=Pqpv9ubB85m68Ltp" TargetMode="External"/><Relationship Id="rId407" Type="http://schemas.openxmlformats.org/officeDocument/2006/relationships/hyperlink" Target="https://admin.booking.com/hotel/hoteladmin/extranet_ng/manage/home.html?hotel_account_id=15487701&amp;hotel_id=12012515&amp;lang=xu&amp;ses=76a12ded010144b8d35db3bc8a9efcb3" TargetMode="External"/><Relationship Id="rId406" Type="http://schemas.openxmlformats.org/officeDocument/2006/relationships/hyperlink" Target="https://www.airbnb.com/hosting/listings/editor/1142514481846687249/details/photo-tour" TargetMode="External"/><Relationship Id="rId405" Type="http://schemas.openxmlformats.org/officeDocument/2006/relationships/hyperlink" Target="https://drive.google.com/file/d/1VwV9OuknH43vR-h6TSooJ-k_6i0SuyTm/view?usp=drive_link" TargetMode="External"/><Relationship Id="rId26" Type="http://schemas.openxmlformats.org/officeDocument/2006/relationships/hyperlink" Target="mailto:noahmontenegro@optimum.net" TargetMode="External"/><Relationship Id="rId25" Type="http://schemas.openxmlformats.org/officeDocument/2006/relationships/hyperlink" Target="https://drive.google.com/file/d/17fbMXv1POODt6UeJ6xvYgMpXcKq3rpFG/view?usp=drive_link" TargetMode="External"/><Relationship Id="rId28" Type="http://schemas.openxmlformats.org/officeDocument/2006/relationships/hyperlink" Target="https://admin.booking.com/hotel/hoteladmin/extranet_ng/manage/home.html?hotel_account_id=15487701&amp;ses=76a12ded010144b8d35db3bc8a9efcb3&amp;lang=xu&amp;hotel_id=11759041" TargetMode="External"/><Relationship Id="rId27" Type="http://schemas.openxmlformats.org/officeDocument/2006/relationships/hyperlink" Target="https://www.airbnb.com/hosting/listings/editor/1117173758916311168/details/photo-tour" TargetMode="External"/><Relationship Id="rId400" Type="http://schemas.openxmlformats.org/officeDocument/2006/relationships/hyperlink" Target="https://www.agoda.com/wv-4-urban-studio/hotel/iloilo-ph.html?hotel_id=55790664&amp;ds=Pqpv9ubB85m68Ltp" TargetMode="External"/><Relationship Id="rId29" Type="http://schemas.openxmlformats.org/officeDocument/2006/relationships/hyperlink" Target="https://ycs.agoda.com/mldc/en-us/app/reporting/dashboard/55811346" TargetMode="External"/><Relationship Id="rId11" Type="http://schemas.openxmlformats.org/officeDocument/2006/relationships/hyperlink" Target="https://www.airbnb.com/hosting/listings/editor/1288159771906626964/details/photo-tour" TargetMode="External"/><Relationship Id="rId10" Type="http://schemas.openxmlformats.org/officeDocument/2006/relationships/hyperlink" Target="https://drive.google.com/file/d/1vdf3z9y5vN5Z5kGNRbsmcqFG2Hs7BsM8/view?usp=drive_link" TargetMode="External"/><Relationship Id="rId13" Type="http://schemas.openxmlformats.org/officeDocument/2006/relationships/hyperlink" Target="https://ycs.agoda.com/mldc/en-us/app/reporting/dashboard/68515738" TargetMode="External"/><Relationship Id="rId12" Type="http://schemas.openxmlformats.org/officeDocument/2006/relationships/hyperlink" Target="https://admin.booking.com/hotel/hoteladmin/extranet_ng/manage/home.html?hotel_id=13373776&amp;lang=xu&amp;ses=76a12ded010144b8d35db3bc8a9efcb3&amp;hotel_account_id=15487701" TargetMode="External"/><Relationship Id="rId15" Type="http://schemas.openxmlformats.org/officeDocument/2006/relationships/hyperlink" Target="https://drive.google.com/file/d/1m8Z7W4Lwr5s4LJtEIlQBXnRw3PcefRT5/view?usp=drive_link" TargetMode="External"/><Relationship Id="rId14" Type="http://schemas.openxmlformats.org/officeDocument/2006/relationships/hyperlink" Target="mailto:Lilanieyoung@yahoo.com" TargetMode="External"/><Relationship Id="rId17" Type="http://schemas.openxmlformats.org/officeDocument/2006/relationships/hyperlink" Target="https://admin.booking.com/hotel/hoteladmin/extranet_ng/manage/home.html?lang=xu&amp;ses=077f0355f225198545ac0c6aeb1f1df5&amp;hotel_account_id=15487701&amp;hotel_id=14034175" TargetMode="External"/><Relationship Id="rId16" Type="http://schemas.openxmlformats.org/officeDocument/2006/relationships/hyperlink" Target="https://www.airbnb.com/hosting/listings/editor/1104816172794026292/view-your-space" TargetMode="External"/><Relationship Id="rId19" Type="http://schemas.openxmlformats.org/officeDocument/2006/relationships/hyperlink" Target="mailto:limsiacomichael@yahoo.com" TargetMode="External"/><Relationship Id="rId18" Type="http://schemas.openxmlformats.org/officeDocument/2006/relationships/hyperlink" Target="https://www.airbnb.com/hosting/listings/editor/1226674297863910019/details/photo-tour" TargetMode="External"/><Relationship Id="rId84" Type="http://schemas.openxmlformats.org/officeDocument/2006/relationships/hyperlink" Target="https://admin.booking.com/hotel/hoteladmin/extranet_ng/manage/home.html?ses=76a12ded010144b8d35db3bc8a9efcb3&amp;lang=xu&amp;hotel_account_id=15487701&amp;hotel_id=13385893" TargetMode="External"/><Relationship Id="rId83" Type="http://schemas.openxmlformats.org/officeDocument/2006/relationships/hyperlink" Target="https://www.airbnb.com/hosting/listings/editor/1318376534614801873/details/photo-tour" TargetMode="External"/><Relationship Id="rId86" Type="http://schemas.openxmlformats.org/officeDocument/2006/relationships/hyperlink" Target="mailto:ibrahim.maricar@outlook.com" TargetMode="External"/><Relationship Id="rId85" Type="http://schemas.openxmlformats.org/officeDocument/2006/relationships/hyperlink" Target="https://ycs.agoda.com/mldc/en-us/app/reporting/dashboard/68515720" TargetMode="External"/><Relationship Id="rId88" Type="http://schemas.openxmlformats.org/officeDocument/2006/relationships/hyperlink" Target="https://admin.booking.com/hotel/hoteladmin/extranet_ng/manage/home.html?hotel_id=14150887&amp;ses=76a12ded010144b8d35db3bc8a9efcb3&amp;hotel_account_id=15487701&amp;lang=xu" TargetMode="External"/><Relationship Id="rId87" Type="http://schemas.openxmlformats.org/officeDocument/2006/relationships/hyperlink" Target="https://www.airbnb.com/hosting/listings/editor/1389047809375922957/details/photo-tour" TargetMode="External"/><Relationship Id="rId89" Type="http://schemas.openxmlformats.org/officeDocument/2006/relationships/hyperlink" Target="https://ycs.agoda.com/mldc/en-us/app/reporting/dashboard/72422187" TargetMode="External"/><Relationship Id="rId80" Type="http://schemas.openxmlformats.org/officeDocument/2006/relationships/hyperlink" Target="https://ycs.agoda.com/mldc/en-us/app/reporting/dashboard/68515731" TargetMode="External"/><Relationship Id="rId82" Type="http://schemas.openxmlformats.org/officeDocument/2006/relationships/hyperlink" Target="https://drive.google.com/file/d/13e22GVxcNCDMohNIl8uGb1QP06Znr3bt/view?usp=drive_link" TargetMode="External"/><Relationship Id="rId81" Type="http://schemas.openxmlformats.org/officeDocument/2006/relationships/hyperlink" Target="mailto:anjodiansay@gmail.com" TargetMode="External"/><Relationship Id="rId73" Type="http://schemas.openxmlformats.org/officeDocument/2006/relationships/hyperlink" Target="https://www.airbnb.com/hosting/listings/editor/1295194336032422360/details/photo-tour" TargetMode="External"/><Relationship Id="rId72" Type="http://schemas.openxmlformats.org/officeDocument/2006/relationships/hyperlink" Target="mailto:rentwithus.abc@gmail.com" TargetMode="External"/><Relationship Id="rId75" Type="http://schemas.openxmlformats.org/officeDocument/2006/relationships/hyperlink" Target="https://ycs.agoda.com/mldc/en-us/app/reporting/dashboard/68515733" TargetMode="External"/><Relationship Id="rId74" Type="http://schemas.openxmlformats.org/officeDocument/2006/relationships/hyperlink" Target="https://admin.booking.com/hotel/hoteladmin/extranet_ng/manage/home.html?lang=xu&amp;ses=76a12ded010144b8d35db3bc8a9efcb3&amp;hotel_id=13378849&amp;hotel_account_id=15487701" TargetMode="External"/><Relationship Id="rId77" Type="http://schemas.openxmlformats.org/officeDocument/2006/relationships/hyperlink" Target="https://drive.google.com/file/d/1fsjJJzcmC9jQCAkXHpFyZk2pNTVQWljt/view?usp=drive_link" TargetMode="External"/><Relationship Id="rId76" Type="http://schemas.openxmlformats.org/officeDocument/2006/relationships/hyperlink" Target="mailto:rentwithus.abc@gmail.com" TargetMode="External"/><Relationship Id="rId79" Type="http://schemas.openxmlformats.org/officeDocument/2006/relationships/hyperlink" Target="https://admin.booking.com/hotel/hoteladmin/extranet_ng/manage/home.html?ses=76a12ded010144b8d35db3bc8a9efcb3&amp;hotel_id=13379103&amp;lang=xu&amp;hotel_account_id=15487701" TargetMode="External"/><Relationship Id="rId78" Type="http://schemas.openxmlformats.org/officeDocument/2006/relationships/hyperlink" Target="https://www.airbnb.com/hosting/listings/editor/1307970504301434140/details/photo-tour" TargetMode="External"/><Relationship Id="rId71" Type="http://schemas.openxmlformats.org/officeDocument/2006/relationships/hyperlink" Target="https://ycs.agoda.com/mldc/en-us/app/reporting/dashboard/68515765" TargetMode="External"/><Relationship Id="rId70" Type="http://schemas.openxmlformats.org/officeDocument/2006/relationships/hyperlink" Target="https://admin.booking.com/hotel/hoteladmin/extranet_ng/manage/home.html?hotel_id=12849044&amp;lang=xu&amp;ses=76a12ded010144b8d35db3bc8a9efcb3&amp;hotel_account_id=15487701" TargetMode="External"/><Relationship Id="rId62" Type="http://schemas.openxmlformats.org/officeDocument/2006/relationships/hyperlink" Target="https://admin.booking.com/hotel/hoteladmin/extranet_ng/manage/home.html?hotel_id=12220693&amp;hotel_account_id=15487701&amp;lang=xu&amp;ses=76a12ded010144b8d35db3bc8a9efcb3" TargetMode="External"/><Relationship Id="rId61" Type="http://schemas.openxmlformats.org/officeDocument/2006/relationships/hyperlink" Target="https://www.airbnb.com/hosting/listings/editor/1173123788462547671/details/photo-tour/https://www.airbnb.com/hosting/listings/editor/1234296370397134179/details/photo-tour" TargetMode="External"/><Relationship Id="rId64" Type="http://schemas.openxmlformats.org/officeDocument/2006/relationships/hyperlink" Target="https://drive.google.com/file/d/1jJtu9ysQx359T3aFkMDc18p3-crdy2MC/view?usp=drive_link" TargetMode="External"/><Relationship Id="rId63" Type="http://schemas.openxmlformats.org/officeDocument/2006/relationships/hyperlink" Target="https://ycs.agoda.com/mldc/en-us/app/reporting/dashboard/57177589" TargetMode="External"/><Relationship Id="rId66" Type="http://schemas.openxmlformats.org/officeDocument/2006/relationships/hyperlink" Target="https://admin.booking.com/hotel/hoteladmin/extranet_ng/manage/home.html?hotel_account_id=15487701&amp;hotel_id=12848976&amp;lang=xu&amp;ses=76a12ded010144b8d35db3bc8a9efcb3" TargetMode="External"/><Relationship Id="rId65" Type="http://schemas.openxmlformats.org/officeDocument/2006/relationships/hyperlink" Target="https://www.airbnb.com/hosting/listings/editor/1241940848673911226/details/photo-tour" TargetMode="External"/><Relationship Id="rId68" Type="http://schemas.openxmlformats.org/officeDocument/2006/relationships/hyperlink" Target="https://drive.google.com/file/d/1vzrZzoAQXb6-iBtvp2aQxS2o6aCPcc-p/view?usp=drive_link" TargetMode="External"/><Relationship Id="rId67" Type="http://schemas.openxmlformats.org/officeDocument/2006/relationships/hyperlink" Target="https://ycs.agoda.com/mldc/en-us/app/reporting/dashboard/68515764" TargetMode="External"/><Relationship Id="rId60" Type="http://schemas.openxmlformats.org/officeDocument/2006/relationships/hyperlink" Target="https://drive.google.com/file/d/1UlEaxFyeblg2qSQZLo0jYbo2vUOHwnzs/view?usp=drive_link" TargetMode="External"/><Relationship Id="rId69" Type="http://schemas.openxmlformats.org/officeDocument/2006/relationships/hyperlink" Target="https://www.airbnb.com/hosting/listings/editor/1241893393113477516/view-your-space" TargetMode="External"/><Relationship Id="rId51" Type="http://schemas.openxmlformats.org/officeDocument/2006/relationships/hyperlink" Target="mailto:ristyd@yahoo.com" TargetMode="External"/><Relationship Id="rId50" Type="http://schemas.openxmlformats.org/officeDocument/2006/relationships/hyperlink" Target="https://ycs.agoda.com/mldc/en-us/app/reporting/dashboard/68515729" TargetMode="External"/><Relationship Id="rId53" Type="http://schemas.openxmlformats.org/officeDocument/2006/relationships/hyperlink" Target="https://admin.booking.com/hotel/hoteladmin/extranet_ng/manage/home.html?hotel_account_id=15487701&amp;ses=f4a0b0f7cce51e99ab01df583876df33&amp;lang=xu&amp;hotel_id=11063899" TargetMode="External"/><Relationship Id="rId52" Type="http://schemas.openxmlformats.org/officeDocument/2006/relationships/hyperlink" Target="https://www.airbnb.com/hosting/listings/editor/1015549603067495092/view-your-space" TargetMode="External"/><Relationship Id="rId55" Type="http://schemas.openxmlformats.org/officeDocument/2006/relationships/hyperlink" Target="mailto:cynthiamansueto@yahoo.com.ph" TargetMode="External"/><Relationship Id="rId54" Type="http://schemas.openxmlformats.org/officeDocument/2006/relationships/hyperlink" Target="https://ycs.agoda.com/mldc/en-us/app/reporting/dashboard/55800113" TargetMode="External"/><Relationship Id="rId57" Type="http://schemas.openxmlformats.org/officeDocument/2006/relationships/hyperlink" Target="https://admin.booking.com/hotel/hoteladmin/extranet_ng/manage/home.html?hotel_account_id=15487701&amp;hotel_id=11064010&amp;ses=76a12ded010144b8d35db3bc8a9efcb3&amp;lang=xu" TargetMode="External"/><Relationship Id="rId56" Type="http://schemas.openxmlformats.org/officeDocument/2006/relationships/hyperlink" Target="https://www.airbnb.com/hosting/listings/editor/1023086036913739808/details/photo-tour" TargetMode="External"/><Relationship Id="rId59" Type="http://schemas.openxmlformats.org/officeDocument/2006/relationships/hyperlink" Target="mailto:febgirl2691@yahoo.com.ph" TargetMode="External"/><Relationship Id="rId58" Type="http://schemas.openxmlformats.org/officeDocument/2006/relationships/hyperlink" Target="https://ycs.agoda.com/mldc/en-us/app/reporting/dashboard/55811046" TargetMode="External"/><Relationship Id="rId107" Type="http://schemas.openxmlformats.org/officeDocument/2006/relationships/hyperlink" Target="https://admin.booking.com/hotel/hoteladmin/extranet_ng/manage/home.html?hotel_account_id=15487701&amp;hotel_id=13619444&amp;lang=xu&amp;ses=077f0355f225198545ac0c6aeb1f1df5" TargetMode="External"/><Relationship Id="rId228" Type="http://schemas.openxmlformats.org/officeDocument/2006/relationships/hyperlink" Target="https://www.agoda.com/q-incomparable-comfort-for-3/hotel/iloilo-ph.html?hotel_id=45268178&amp;ds=GKoFmbWoznfkzC0v" TargetMode="External"/><Relationship Id="rId349" Type="http://schemas.openxmlformats.org/officeDocument/2006/relationships/hyperlink" Target="mailto:jeanne.ferrer75@gmail.com" TargetMode="External"/><Relationship Id="rId106" Type="http://schemas.openxmlformats.org/officeDocument/2006/relationships/hyperlink" Target="https://www.airbnb.com/hosting/listings/editor/1340272984387622207/details/photo-tour" TargetMode="External"/><Relationship Id="rId227" Type="http://schemas.openxmlformats.org/officeDocument/2006/relationships/hyperlink" Target="https://admin.booking.com/hotel/hoteladmin/extranet_ng/manage/home.html?hotel_id=10679956&amp;ses=76a12ded010144b8d35db3bc8a9efcb3&amp;hotel_account_id=15487701&amp;lang=xu" TargetMode="External"/><Relationship Id="rId348" Type="http://schemas.openxmlformats.org/officeDocument/2006/relationships/hyperlink" Target="https://admin.booking.com/hotel/hoteladmin/extranet_ng/manage/home.html?hotel_account_id=15487701&amp;ses=077f0355f225198545ac0c6aeb1f1df5&amp;hotel_id=13409550&amp;lang=xu" TargetMode="External"/><Relationship Id="rId469" Type="http://schemas.openxmlformats.org/officeDocument/2006/relationships/hyperlink" Target="https://www.airbnb.com/hosting/listings/editor/1353162688699627471/details/photo-tour" TargetMode="External"/><Relationship Id="rId105" Type="http://schemas.openxmlformats.org/officeDocument/2006/relationships/hyperlink" Target="https://drive.google.com/file/d/1T0cV6yAkJ-kyFTzmUnqnQI69ylDPUvUU/view?usp=drive_link" TargetMode="External"/><Relationship Id="rId226" Type="http://schemas.openxmlformats.org/officeDocument/2006/relationships/hyperlink" Target="https://www.airbnb.com/hosting/listings/editor/965722109687053772/details/photo-tour" TargetMode="External"/><Relationship Id="rId347" Type="http://schemas.openxmlformats.org/officeDocument/2006/relationships/hyperlink" Target="https://www.airbnb.com/hosting/listings/editor/1330997272045209578/details/photo-tour" TargetMode="External"/><Relationship Id="rId468" Type="http://schemas.openxmlformats.org/officeDocument/2006/relationships/hyperlink" Target="mailto:sirlabsclassroom@gmail.com" TargetMode="External"/><Relationship Id="rId104" Type="http://schemas.openxmlformats.org/officeDocument/2006/relationships/hyperlink" Target="mailto:Esjoyp@aol.com" TargetMode="External"/><Relationship Id="rId225" Type="http://schemas.openxmlformats.org/officeDocument/2006/relationships/hyperlink" Target="https://ycs.agoda.com/mldc/en-us/app/reporting/dashboard/45781041" TargetMode="External"/><Relationship Id="rId346" Type="http://schemas.openxmlformats.org/officeDocument/2006/relationships/hyperlink" Target="https://drive.google.com/file/d/12QdKs99hB7t2B7h66ZqsDjzJ3o-P-K07/view?usp=drive_link" TargetMode="External"/><Relationship Id="rId467" Type="http://schemas.openxmlformats.org/officeDocument/2006/relationships/hyperlink" Target="https://admin.booking.com/hotel/hoteladmin/extranet_ng/manage/home.html?lang=xu&amp;hotel_account_id=15487701&amp;ses=76a12ded010144b8d35db3bc8a9efcb3&amp;hotel_id=13434254" TargetMode="External"/><Relationship Id="rId109" Type="http://schemas.openxmlformats.org/officeDocument/2006/relationships/hyperlink" Target="https://www.airbnb.com/hosting/listings/editor/1429488220881744236/view-your-space" TargetMode="External"/><Relationship Id="rId108" Type="http://schemas.openxmlformats.org/officeDocument/2006/relationships/hyperlink" Target="https://ycs.agoda.com/mldc/en-us/app/reporting/dashboard/68515708" TargetMode="External"/><Relationship Id="rId229" Type="http://schemas.openxmlformats.org/officeDocument/2006/relationships/hyperlink" Target="mailto:graceuybico@gmail.com" TargetMode="External"/><Relationship Id="rId220" Type="http://schemas.openxmlformats.org/officeDocument/2006/relationships/hyperlink" Target="https://www.airbnb.com/hosting/listings/editor/912129856794116318/details/photo-tour" TargetMode="External"/><Relationship Id="rId341" Type="http://schemas.openxmlformats.org/officeDocument/2006/relationships/hyperlink" Target="https://admin.booking.com/hotel/hoteladmin/extranet_ng/manage/home.html?hotel_account_id=15487701&amp;hotel_id=13380451&amp;ses=077f0355f225198545ac0c6aeb1f1df5&amp;lang=xu" TargetMode="External"/><Relationship Id="rId462" Type="http://schemas.openxmlformats.org/officeDocument/2006/relationships/hyperlink" Target="https://admin.booking.com/hotel/hoteladmin/extranet_ng/manage/home.html?hotel_id=11479941&amp;ses=76a12ded010144b8d35db3bc8a9efcb3&amp;hotel_account_id=15487701&amp;lang=xu" TargetMode="External"/><Relationship Id="rId340" Type="http://schemas.openxmlformats.org/officeDocument/2006/relationships/hyperlink" Target="https://www.airbnb.com/hosting/listings/editor/1317864259568748587/details/photo-tour" TargetMode="External"/><Relationship Id="rId461" Type="http://schemas.openxmlformats.org/officeDocument/2006/relationships/hyperlink" Target="https://www.airbnb.com/hosting/listings/editor/1073103822711654161/details/photo-tour" TargetMode="External"/><Relationship Id="rId460" Type="http://schemas.openxmlformats.org/officeDocument/2006/relationships/hyperlink" Target="https://admin.booking.com/hotel/hoteladmin/extranet_ng/manage/home.html?hotel_id=13378909&amp;hotel_account_id=15487701&amp;lang=xu&amp;ses=76a12ded010144b8d35db3bc8a9efcb3" TargetMode="External"/><Relationship Id="rId103" Type="http://schemas.openxmlformats.org/officeDocument/2006/relationships/hyperlink" Target="https://drive.google.com/drive/folders/1KYL0Acu3VGqUyxXqYSPH_J1W-zkx5gpn" TargetMode="External"/><Relationship Id="rId224" Type="http://schemas.openxmlformats.org/officeDocument/2006/relationships/hyperlink" Target="https://admin.booking.com/hotel/hoteladmin/extranet_ng/manage/home.html?lang=xu&amp;ses=76a12ded010144b8d35db3bc8a9efcb3&amp;hotel_id=10538642&amp;hotel_account_id=15487701" TargetMode="External"/><Relationship Id="rId345" Type="http://schemas.openxmlformats.org/officeDocument/2006/relationships/hyperlink" Target="mailto:chavillareal2017@gmail.com" TargetMode="External"/><Relationship Id="rId466" Type="http://schemas.openxmlformats.org/officeDocument/2006/relationships/hyperlink" Target="https://www.airbnb.com/hosting/listings/editor/1333927702487067315/details/photo-tour" TargetMode="External"/><Relationship Id="rId102" Type="http://schemas.openxmlformats.org/officeDocument/2006/relationships/hyperlink" Target="https://ycs.agoda.com/mldc/en-us/app/reporting/dashboard/57157972" TargetMode="External"/><Relationship Id="rId223" Type="http://schemas.openxmlformats.org/officeDocument/2006/relationships/hyperlink" Target="https://www.airbnb.com/hosting/listings/editor/945839410171367302/details/photo-tour" TargetMode="External"/><Relationship Id="rId344" Type="http://schemas.openxmlformats.org/officeDocument/2006/relationships/hyperlink" Target="https://admin.booking.com/hotel/hoteladmin/extranet_ng/manage/home.html?ses=077f0355f225198545ac0c6aeb1f1df5&amp;lang=xu&amp;hotel_id=13380716&amp;hotel_account_id=15487701" TargetMode="External"/><Relationship Id="rId465" Type="http://schemas.openxmlformats.org/officeDocument/2006/relationships/hyperlink" Target="https://drive.google.com/file/d/1broOAiRc2FPrI2LjHO0nBAko3exf28TK/view?usp=drive_link" TargetMode="External"/><Relationship Id="rId101" Type="http://schemas.openxmlformats.org/officeDocument/2006/relationships/hyperlink" Target="https://admin.booking.com/hotel/hoteladmin/extranet_ng/manage/home.html?lang=xu&amp;hotel_id=12220647&amp;hotel_account_id=15487701&amp;ses=76a12ded010144b8d35db3bc8a9efcb3" TargetMode="External"/><Relationship Id="rId222" Type="http://schemas.openxmlformats.org/officeDocument/2006/relationships/hyperlink" Target="https://ycs.agoda.com/mldc/en-us/app/reporting/dashboard/45260333" TargetMode="External"/><Relationship Id="rId343" Type="http://schemas.openxmlformats.org/officeDocument/2006/relationships/hyperlink" Target="https://www.airbnb.com/hosting/listings/editor/1317874058695211630/details/photo-tour" TargetMode="External"/><Relationship Id="rId464" Type="http://schemas.openxmlformats.org/officeDocument/2006/relationships/hyperlink" Target="mailto:jmfilmsproduction2014@gmail.com" TargetMode="External"/><Relationship Id="rId100" Type="http://schemas.openxmlformats.org/officeDocument/2006/relationships/hyperlink" Target="https://www.airbnb.com/hosting/listings/editor/1171606286728188741/details/photo-tour" TargetMode="External"/><Relationship Id="rId221" Type="http://schemas.openxmlformats.org/officeDocument/2006/relationships/hyperlink" Target="https://admin.booking.com/hotel/hoteladmin/extranet_ng/manage/home.html?hotel_id=10239892&amp;hotel_account_id=15487701&amp;ses=76a12ded010144b8d35db3bc8a9efcb3&amp;lang=xu" TargetMode="External"/><Relationship Id="rId342" Type="http://schemas.openxmlformats.org/officeDocument/2006/relationships/hyperlink" Target="mailto:mona_beck2001@yahoo.com" TargetMode="External"/><Relationship Id="rId463" Type="http://schemas.openxmlformats.org/officeDocument/2006/relationships/hyperlink" Target="https://www.agoda.com/wv-2-tranquil-haven/hotel/iloilo-ph.html?hotel_id=55790624&amp;ds=Pqpv9ubB85m68Ltp" TargetMode="External"/><Relationship Id="rId217" Type="http://schemas.openxmlformats.org/officeDocument/2006/relationships/hyperlink" Target="https://www.airbnb.com/hosting/listings/editor/1104738856642578480/details/photo-tour" TargetMode="External"/><Relationship Id="rId338" Type="http://schemas.openxmlformats.org/officeDocument/2006/relationships/hyperlink" Target="https://admin.booking.com/hotel/hoteladmin/extranet_ng/manage/home.html?hotel_account_id=15487701&amp;lang=xu&amp;hotel_id=12859651&amp;ses=077f0355f225198545ac0c6aeb1f1df5" TargetMode="External"/><Relationship Id="rId459" Type="http://schemas.openxmlformats.org/officeDocument/2006/relationships/hyperlink" Target="https://www.airbnb.com/hosting/listings/editor/1307941763076379574/details/photo-tour" TargetMode="External"/><Relationship Id="rId216" Type="http://schemas.openxmlformats.org/officeDocument/2006/relationships/hyperlink" Target="https://www.agoda.com/h2-modern-city-condo/hotel/iloilo-ph.html?hotel_id=55833898&amp;ds=GKoFmbWoznfkzC0v" TargetMode="External"/><Relationship Id="rId337" Type="http://schemas.openxmlformats.org/officeDocument/2006/relationships/hyperlink" Target="https://www.airbnb.com/hosting/listings/editor/1249813358201175201/details/photo-tour" TargetMode="External"/><Relationship Id="rId458" Type="http://schemas.openxmlformats.org/officeDocument/2006/relationships/hyperlink" Target="https://drive.google.com/file/d/1dPncYzLFabMEEcNb-poLvlzyWi5iR3AI/view?usp=drive_link" TargetMode="External"/><Relationship Id="rId215" Type="http://schemas.openxmlformats.org/officeDocument/2006/relationships/hyperlink" Target="https://admin.booking.com/hotel/hoteladmin/extranet_ng/manage/home.html?lang=xu&amp;ses=76a12ded010144b8d35db3bc8a9efcb3&amp;hotel_id=11649134&amp;hotel_account_id=15487701" TargetMode="External"/><Relationship Id="rId336" Type="http://schemas.openxmlformats.org/officeDocument/2006/relationships/hyperlink" Target="https://admin.booking.com/hotel/hoteladmin/extranet_ng/manage/home.html?hotel_account_id=15487701&amp;lang=xu&amp;hotel_id=12859621&amp;ses=077f0355f225198545ac0c6aeb1f1df5" TargetMode="External"/><Relationship Id="rId457" Type="http://schemas.openxmlformats.org/officeDocument/2006/relationships/hyperlink" Target="mailto:juzzy.magno@yahoo.com" TargetMode="External"/><Relationship Id="rId214" Type="http://schemas.openxmlformats.org/officeDocument/2006/relationships/hyperlink" Target="https://www.airbnb.com/hosting/listings/editor/1104748798156172790/details/photo-tour" TargetMode="External"/><Relationship Id="rId335" Type="http://schemas.openxmlformats.org/officeDocument/2006/relationships/hyperlink" Target="https://www.airbnb.com/hosting/listings/editor/1249491094978593476/details/photo-tour" TargetMode="External"/><Relationship Id="rId456" Type="http://schemas.openxmlformats.org/officeDocument/2006/relationships/hyperlink" Target="https://admin.booking.com/hotel/hoteladmin/extranet_ng/manage/home.html?lang=xu&amp;hotel_account_id=15487701&amp;hotel_id=12986672&amp;ses=76a12ded010144b8d35db3bc8a9efcb3" TargetMode="External"/><Relationship Id="rId219" Type="http://schemas.openxmlformats.org/officeDocument/2006/relationships/hyperlink" Target="https://www.agoda.com/i2-sleek-city-haven/hotel/iloilo-ph.html?hotel_id=55833910&amp;ds=GKoFmbWoznfkzC0v" TargetMode="External"/><Relationship Id="rId218" Type="http://schemas.openxmlformats.org/officeDocument/2006/relationships/hyperlink" Target="https://admin.booking.com/hotel/hoteladmin/extranet_ng/manage/home.html?hotel_account_id=15487701&amp;hotel_id=11649170&amp;ses=76a12ded010144b8d35db3bc8a9efcb3&amp;lang=xu" TargetMode="External"/><Relationship Id="rId339" Type="http://schemas.openxmlformats.org/officeDocument/2006/relationships/hyperlink" Target="mailto:mona_beck2001@yahoo.com" TargetMode="External"/><Relationship Id="rId330" Type="http://schemas.openxmlformats.org/officeDocument/2006/relationships/hyperlink" Target="https://www.airbnb.com/hosting/listings/editor/892657579732968292/view-your-space" TargetMode="External"/><Relationship Id="rId451" Type="http://schemas.openxmlformats.org/officeDocument/2006/relationships/hyperlink" Target="mailto:ristyd@yahoo.com" TargetMode="External"/><Relationship Id="rId450" Type="http://schemas.openxmlformats.org/officeDocument/2006/relationships/hyperlink" Target="https://admin.booking.com/hotel/hoteladmin/extranet_ng/manage/home.html?hotel_account_id=15487701&amp;lang=xu&amp;hotel_id=12986363&amp;ses=76a12ded010144b8d35db3bc8a9efcb3" TargetMode="External"/><Relationship Id="rId213" Type="http://schemas.openxmlformats.org/officeDocument/2006/relationships/hyperlink" Target="https://ycs.agoda.com/mldc/en-us/app/reporting/dashboard/38601475" TargetMode="External"/><Relationship Id="rId334" Type="http://schemas.openxmlformats.org/officeDocument/2006/relationships/hyperlink" Target="https://drive.google.com/file/d/1-3RyIro5Xr7PyvpjtpCUjGqIpnIvEA1D/view?usp=drive_link" TargetMode="External"/><Relationship Id="rId455" Type="http://schemas.openxmlformats.org/officeDocument/2006/relationships/hyperlink" Target="https://www.airbnb.com/hosting/listings/editor/1273458286471961000/details/photo-tour" TargetMode="External"/><Relationship Id="rId212" Type="http://schemas.openxmlformats.org/officeDocument/2006/relationships/hyperlink" Target="https://admin.booking.com/hotel/hoteladmin/extranet_ng/manage/home.html?hotel_account_id=15487701&amp;hotel_id=9802300&amp;lang=xu&amp;ses=76a12ded010144b8d35db3bc8a9efcb3" TargetMode="External"/><Relationship Id="rId333" Type="http://schemas.openxmlformats.org/officeDocument/2006/relationships/hyperlink" Target="mailto:gaudelfin23@gmail.com" TargetMode="External"/><Relationship Id="rId454" Type="http://schemas.openxmlformats.org/officeDocument/2006/relationships/hyperlink" Target="mailto:shacabial@gmail.com" TargetMode="External"/><Relationship Id="rId211" Type="http://schemas.openxmlformats.org/officeDocument/2006/relationships/hyperlink" Target="https://www.airbnb.com/hosting/listings/editor/854152243536282449/details/photo-tour" TargetMode="External"/><Relationship Id="rId332" Type="http://schemas.openxmlformats.org/officeDocument/2006/relationships/hyperlink" Target="https://ycs.agoda.com/mldc/en-us/app/reporting/dashboard/45261532" TargetMode="External"/><Relationship Id="rId453" Type="http://schemas.openxmlformats.org/officeDocument/2006/relationships/hyperlink" Target="https://admin.booking.com/hotel/hoteladmin/extranet_ng/manage/home.html?hotel_id=12986578&amp;lang=xu&amp;hotel_account_id=15487701&amp;ses=76a12ded010144b8d35db3bc8a9efcb3" TargetMode="External"/><Relationship Id="rId210" Type="http://schemas.openxmlformats.org/officeDocument/2006/relationships/hyperlink" Target="mailto:n_pison@yahoo.com" TargetMode="External"/><Relationship Id="rId331" Type="http://schemas.openxmlformats.org/officeDocument/2006/relationships/hyperlink" Target="https://admin.booking.com/hotel/hoteladmin/extranet_ng/manage/home.html?ses=76a12ded010144b8d35db3bc8a9efcb3&amp;lang=xu&amp;hotel_account_id=15487701&amp;hotel_id=10710994" TargetMode="External"/><Relationship Id="rId452" Type="http://schemas.openxmlformats.org/officeDocument/2006/relationships/hyperlink" Target="https://www.airbnb.com/hosting/listings/editor/1269989543126417173/details/photo-tour" TargetMode="External"/><Relationship Id="rId370" Type="http://schemas.openxmlformats.org/officeDocument/2006/relationships/hyperlink" Target="mailto:vangie_257@yahoo.com" TargetMode="External"/><Relationship Id="rId129" Type="http://schemas.openxmlformats.org/officeDocument/2006/relationships/hyperlink" Target="https://admin.booking.com/hotel/hoteladmin/extranet_ng/manage/home.html?hotel_id=12849179&amp;hotel_account_id=15487701&amp;ses=76a12ded010144b8d35db3bc8a9efcb3&amp;lang=xu" TargetMode="External"/><Relationship Id="rId128" Type="http://schemas.openxmlformats.org/officeDocument/2006/relationships/hyperlink" Target="https://www.airbnb.com/hosting/listings/editor/1244820027850144607/details/photo-tour" TargetMode="External"/><Relationship Id="rId249" Type="http://schemas.openxmlformats.org/officeDocument/2006/relationships/hyperlink" Target="mailto:gutierrezdevelopment@gmail.com" TargetMode="External"/><Relationship Id="rId127" Type="http://schemas.openxmlformats.org/officeDocument/2006/relationships/hyperlink" Target="https://drive.google.com/file/d/1Y1fo0KiCUosccaab_U2h5eKwF33LOdOB/view?usp=drive_link" TargetMode="External"/><Relationship Id="rId248" Type="http://schemas.openxmlformats.org/officeDocument/2006/relationships/hyperlink" Target="https://www.airbnb.com/hosting/listings/editor/1042423665311966562/details/photo-tour" TargetMode="External"/><Relationship Id="rId369" Type="http://schemas.openxmlformats.org/officeDocument/2006/relationships/hyperlink" Target="https://admin.booking.com/hotel/hoteladmin/extranet_ng/manage/home.html?ses=077f0355f225198545ac0c6aeb1f1df5&amp;hotel_account_id=15487701&amp;hotel_id=13618873&amp;lang=xu" TargetMode="External"/><Relationship Id="rId126" Type="http://schemas.openxmlformats.org/officeDocument/2006/relationships/hyperlink" Target="mailto:Hyacinth.9@hotmail.com" TargetMode="External"/><Relationship Id="rId247" Type="http://schemas.openxmlformats.org/officeDocument/2006/relationships/hyperlink" Target="mailto:cyn8684@gmail.com" TargetMode="External"/><Relationship Id="rId368" Type="http://schemas.openxmlformats.org/officeDocument/2006/relationships/hyperlink" Target="https://www.airbnb.com/hosting/listings/editor/1317901007277850017/details/photo-tour" TargetMode="External"/><Relationship Id="rId121" Type="http://schemas.openxmlformats.org/officeDocument/2006/relationships/hyperlink" Target="mailto:euniel.md@gmail.com" TargetMode="External"/><Relationship Id="rId242" Type="http://schemas.openxmlformats.org/officeDocument/2006/relationships/hyperlink" Target="https://www.airbnb.com/hosting/listings/editor/1004254939837369570/details/photo-tour" TargetMode="External"/><Relationship Id="rId363" Type="http://schemas.openxmlformats.org/officeDocument/2006/relationships/hyperlink" Target="https://www.airbnb.com/hosting/listings/editor/1281754996657487774/details/photo-tour" TargetMode="External"/><Relationship Id="rId120" Type="http://schemas.openxmlformats.org/officeDocument/2006/relationships/hyperlink" Target="https://ycs.agoda.com/mldc/en-us/app/reporting/dashboard/68515781" TargetMode="External"/><Relationship Id="rId241" Type="http://schemas.openxmlformats.org/officeDocument/2006/relationships/hyperlink" Target="https://ycs.agoda.com/mldc/en-us/app/reporting/dashboard/46174533" TargetMode="External"/><Relationship Id="rId362" Type="http://schemas.openxmlformats.org/officeDocument/2006/relationships/hyperlink" Target="https://drive.google.com/file/d/19Vohd59ne0eAosoJOlsEj9_PVJ3ZVkcA/view?usp=drive_link" TargetMode="External"/><Relationship Id="rId240" Type="http://schemas.openxmlformats.org/officeDocument/2006/relationships/hyperlink" Target="https://admin.booking.com/hotel/hoteladmin/extranet_ng/manage/home.html?lang=xu&amp;ses=76a12ded010144b8d35db3bc8a9efcb3&amp;hotel_id=10810323&amp;hotel_account_id=15487701" TargetMode="External"/><Relationship Id="rId361" Type="http://schemas.openxmlformats.org/officeDocument/2006/relationships/hyperlink" Target="mailto:rosaldesmizzy@gmail.com" TargetMode="External"/><Relationship Id="rId360" Type="http://schemas.openxmlformats.org/officeDocument/2006/relationships/hyperlink" Target="https://www.airbnb.com/hosting/listings/editor/1317901007277850017/details/photo-tour" TargetMode="External"/><Relationship Id="rId125" Type="http://schemas.openxmlformats.org/officeDocument/2006/relationships/hyperlink" Target="https://ycs.agoda.com/mldc/en-us/app/reporting/dashboard/68515769" TargetMode="External"/><Relationship Id="rId246" Type="http://schemas.openxmlformats.org/officeDocument/2006/relationships/hyperlink" Target="https://admin.booking.com/hotel/hoteladmin/extranet_ng/manage/home.html?ses=76a12ded010144b8d35db3bc8a9efcb3&amp;lang=xu&amp;hotel_account_id=15487701&amp;hotel_id=11163954" TargetMode="External"/><Relationship Id="rId367" Type="http://schemas.openxmlformats.org/officeDocument/2006/relationships/hyperlink" Target="https://www.airbnb.com/hosting/listings/editor/1287196269218115688/details/photo-tour" TargetMode="External"/><Relationship Id="rId124" Type="http://schemas.openxmlformats.org/officeDocument/2006/relationships/hyperlink" Target="https://admin.booking.com/hotel/hoteladmin/extranet_ng/manage/home.html?lang=xu&amp;hotel_id=12848941&amp;hotel_account_id=15487701&amp;ses=76a12ded010144b8d35db3bc8a9efcb3" TargetMode="External"/><Relationship Id="rId245" Type="http://schemas.openxmlformats.org/officeDocument/2006/relationships/hyperlink" Target="https://www.airbnb.com/hosting/listings/editor/1024534419515722548/details/photo-tour" TargetMode="External"/><Relationship Id="rId366" Type="http://schemas.openxmlformats.org/officeDocument/2006/relationships/hyperlink" Target="https://drive.google.com/file/d/1DDM7azhInt3MWhmL36Yi17E0vk406x19/view?usp=drive_link" TargetMode="External"/><Relationship Id="rId123" Type="http://schemas.openxmlformats.org/officeDocument/2006/relationships/hyperlink" Target="https://www.airbnb.com/hosting/listings/editor/1238323116628691751/view-your-space" TargetMode="External"/><Relationship Id="rId244" Type="http://schemas.openxmlformats.org/officeDocument/2006/relationships/hyperlink" Target="https://ycs.agoda.com/mldc/en-us/app/reporting/dashboard/47125184" TargetMode="External"/><Relationship Id="rId365" Type="http://schemas.openxmlformats.org/officeDocument/2006/relationships/hyperlink" Target="mailto:irishdeysolong523@gmail.com" TargetMode="External"/><Relationship Id="rId122" Type="http://schemas.openxmlformats.org/officeDocument/2006/relationships/hyperlink" Target="https://drive.google.com/file/d/1n3DLILVw9M9eNB6WMuc7d3i3nqsnlj2U/view?usp=drive_link" TargetMode="External"/><Relationship Id="rId243" Type="http://schemas.openxmlformats.org/officeDocument/2006/relationships/hyperlink" Target="https://admin.booking.com/hotel/hoteladmin/extranet_ng/manage/home.html?ses=76a12ded010144b8d35db3bc8a9efcb3&amp;hotel_id=10936231&amp;lang=xu&amp;hotel_account_id=15487701" TargetMode="External"/><Relationship Id="rId364" Type="http://schemas.openxmlformats.org/officeDocument/2006/relationships/hyperlink" Target="https://admin.booking.com/hotel/hoteladmin/extranet_ng/manage/home.html?ses=077f0355f225198545ac0c6aeb1f1df5&amp;hotel_account_id=15487701&amp;lang=xu&amp;hotel_id=13044234" TargetMode="External"/><Relationship Id="rId95" Type="http://schemas.openxmlformats.org/officeDocument/2006/relationships/hyperlink" Target="https://www.airbnb.com/hosting/listings/editor/1420243498849532934/view-your-space" TargetMode="External"/><Relationship Id="rId94" Type="http://schemas.openxmlformats.org/officeDocument/2006/relationships/hyperlink" Target="https://ycs.agoda.com/mldc/en-us/app/reporting/dashboard/68515715" TargetMode="External"/><Relationship Id="rId97" Type="http://schemas.openxmlformats.org/officeDocument/2006/relationships/hyperlink" Target="https://ycs.agoda.com/mldc/en-us/app/reporting/dashboard/73023004" TargetMode="External"/><Relationship Id="rId96" Type="http://schemas.openxmlformats.org/officeDocument/2006/relationships/hyperlink" Target="https://admin.booking.com/hotel/hoteladmin/extranet_ng/manage/home.html?ses=76a12ded010144b8d35db3bc8a9efcb3&amp;hotel_id=14157654&amp;lang=xu&amp;hotel_account_id=15487701" TargetMode="External"/><Relationship Id="rId99" Type="http://schemas.openxmlformats.org/officeDocument/2006/relationships/hyperlink" Target="https://drive.google.com/file/d/1ONET41rq_i_ppffEnSvqpimzVL1Hv_6h/view?usp=drive_link" TargetMode="External"/><Relationship Id="rId98" Type="http://schemas.openxmlformats.org/officeDocument/2006/relationships/hyperlink" Target="mailto:enitsenrevalle@gmail.com" TargetMode="External"/><Relationship Id="rId91" Type="http://schemas.openxmlformats.org/officeDocument/2006/relationships/hyperlink" Target="https://drive.google.com/file/d/1MZ0UuJt16RWA_0Ip-SPjmvtexgU3uu69/view?usp=drive_link" TargetMode="External"/><Relationship Id="rId90" Type="http://schemas.openxmlformats.org/officeDocument/2006/relationships/hyperlink" Target="mailto:rodel5alimpoyo@yahoo.com.ph" TargetMode="External"/><Relationship Id="rId93" Type="http://schemas.openxmlformats.org/officeDocument/2006/relationships/hyperlink" Target="https://admin.booking.com/hotel/hoteladmin/extranet_ng/manage/home.html?hotel_id=13606337&amp;ses=76a12ded010144b8d35db3bc8a9efcb3&amp;lang=xu&amp;hotel_account_id=15487701" TargetMode="External"/><Relationship Id="rId92" Type="http://schemas.openxmlformats.org/officeDocument/2006/relationships/hyperlink" Target="https://www.airbnb.com/hosting/listings/editor/1339757086566430260/details/photo-tour" TargetMode="External"/><Relationship Id="rId118" Type="http://schemas.openxmlformats.org/officeDocument/2006/relationships/hyperlink" Target="https://www.airbnb.com/hosting/listings/editor/1225646896633266274/details/photo-tour" TargetMode="External"/><Relationship Id="rId239" Type="http://schemas.openxmlformats.org/officeDocument/2006/relationships/hyperlink" Target="https://www.airbnb.com/hosting/listings/editor/985317616932092879/details/photo-tour" TargetMode="External"/><Relationship Id="rId117" Type="http://schemas.openxmlformats.org/officeDocument/2006/relationships/hyperlink" Target="https://drive.google.com/file/d/1FV3fJpZs7jtE-Z3jE24gxXefMU5LFWl6/view?usp=drive_link" TargetMode="External"/><Relationship Id="rId238" Type="http://schemas.openxmlformats.org/officeDocument/2006/relationships/hyperlink" Target="https://www.agoda.com/r2-minimalist-snug-haven/hotel/iloilo-ph.html?hotel_id=57157248&amp;ds=Pqpv9ubB85m68Ltp" TargetMode="External"/><Relationship Id="rId359" Type="http://schemas.openxmlformats.org/officeDocument/2006/relationships/hyperlink" Target="https://admin.booking.com/hotel/hoteladmin/extranet_ng/manage/home.html?hotel_account_id=15487701&amp;lang=xu&amp;hotel_id=13043345&amp;ses=077f0355f225198545ac0c6aeb1f1df5" TargetMode="External"/><Relationship Id="rId116" Type="http://schemas.openxmlformats.org/officeDocument/2006/relationships/hyperlink" Target="mailto:ristyd@yahoo.com" TargetMode="External"/><Relationship Id="rId237" Type="http://schemas.openxmlformats.org/officeDocument/2006/relationships/hyperlink" Target="https://admin.booking.com/hotel/hoteladmin/extranet_ng/manage/home.html?hotel_id=12220568&amp;lang=xu&amp;hotel_account_id=15487701&amp;ses=76a12ded010144b8d35db3bc8a9efcb3" TargetMode="External"/><Relationship Id="rId358" Type="http://schemas.openxmlformats.org/officeDocument/2006/relationships/hyperlink" Target="https://www.airbnb.com/hosting/listings/editor/1276643106845637853/details/photo-tour" TargetMode="External"/><Relationship Id="rId115" Type="http://schemas.openxmlformats.org/officeDocument/2006/relationships/hyperlink" Target="https://ycs.agoda.com/mldc/en-us/app/reporting/dashboard/68515787" TargetMode="External"/><Relationship Id="rId236" Type="http://schemas.openxmlformats.org/officeDocument/2006/relationships/hyperlink" Target="https://www.airbnb.com/hosting/listings/editor/1172949425728132788/details/photo-tour" TargetMode="External"/><Relationship Id="rId357" Type="http://schemas.openxmlformats.org/officeDocument/2006/relationships/hyperlink" Target="https://drive.google.com/file/d/1e5ujgK17WNW8e1aHKYuFs8XMRAtHTg4v/view?usp=drive_link" TargetMode="External"/><Relationship Id="rId478" Type="http://schemas.openxmlformats.org/officeDocument/2006/relationships/table" Target="../tables/table2.xml"/><Relationship Id="rId119" Type="http://schemas.openxmlformats.org/officeDocument/2006/relationships/hyperlink" Target="https://admin.booking.com/hotel/hoteladmin/extranet_ng/manage/home.html?hotel_account_id=15487701&amp;ses=76a12ded010144b8d35db3bc8a9efcb3&amp;hotel_id=12760132&amp;lang=xu" TargetMode="External"/><Relationship Id="rId110" Type="http://schemas.openxmlformats.org/officeDocument/2006/relationships/hyperlink" Target="https://admin.booking.com/hotel/hoteladmin/extranet_ng/manage/home.html?hotel_account_id=15487701&amp;lang=xu&amp;ses=76a12ded010144b8d35db3bc8a9efcb3&amp;hotel_id=14266123" TargetMode="External"/><Relationship Id="rId231" Type="http://schemas.openxmlformats.org/officeDocument/2006/relationships/hyperlink" Target="https://admin.booking.com/hotel/hoteladmin/extranet_ng/manage/home.html?hotel_account_id=15487701&amp;lang=xu&amp;hotel_id=12220522&amp;ses=76a12ded010144b8d35db3bc8a9efcb3" TargetMode="External"/><Relationship Id="rId352" Type="http://schemas.openxmlformats.org/officeDocument/2006/relationships/hyperlink" Target="mailto:swedenwu07@gmail.com" TargetMode="External"/><Relationship Id="rId473" Type="http://schemas.openxmlformats.org/officeDocument/2006/relationships/drawing" Target="../drawings/drawing3.xml"/><Relationship Id="rId230" Type="http://schemas.openxmlformats.org/officeDocument/2006/relationships/hyperlink" Target="https://www.airbnb.com/hosting/listings/editor/1163637196200928374/details/photo-tour" TargetMode="External"/><Relationship Id="rId351" Type="http://schemas.openxmlformats.org/officeDocument/2006/relationships/hyperlink" Target="https://admin.booking.com/hotel/hoteladmin/extranet_ng/manage/home.html?hotel_account_id=15487701&amp;lang=xu&amp;ses=76a12ded010144b8d35db3bc8a9efcb3&amp;hotel_id=12608333" TargetMode="External"/><Relationship Id="rId472" Type="http://schemas.openxmlformats.org/officeDocument/2006/relationships/hyperlink" Target="https://admin.booking.com/hotel/hoteladmin/extranet_ng/manage/home.html?ses=76a12ded010144b8d35db3bc8a9efcb3&amp;lang=xu&amp;hotel_id=14148607&amp;hotel_account_id=15487701" TargetMode="External"/><Relationship Id="rId350" Type="http://schemas.openxmlformats.org/officeDocument/2006/relationships/hyperlink" Target="https://www.airbnb.com/hosting/listings/editor/1196985863709001525/details/photo-tour" TargetMode="External"/><Relationship Id="rId471" Type="http://schemas.openxmlformats.org/officeDocument/2006/relationships/hyperlink" Target="https://www.airbnb.com/hosting/listings/editor/1387298405913402084/details/photo-tour" TargetMode="External"/><Relationship Id="rId470" Type="http://schemas.openxmlformats.org/officeDocument/2006/relationships/hyperlink" Target="https://admin.booking.com/hotel/hoteladmin/extranet_ng/manage/home.html?lang=xu&amp;ses=76a12ded010144b8d35db3bc8a9efcb3&amp;hotel_account_id=15487701&amp;hotel_id=13619153" TargetMode="External"/><Relationship Id="rId114" Type="http://schemas.openxmlformats.org/officeDocument/2006/relationships/hyperlink" Target="https://admin.booking.com/hotel/hoteladmin/extranet_ng/manage/home.html?ses=76a12ded010144b8d35db3bc8a9efcb3&amp;lang=xu&amp;hotel_id=12701525&amp;hotel_account_id=15487701" TargetMode="External"/><Relationship Id="rId235" Type="http://schemas.openxmlformats.org/officeDocument/2006/relationships/hyperlink" Target="https://ycs.agoda.com/mldc/en-us/app/reporting/dashboard/45888451" TargetMode="External"/><Relationship Id="rId356" Type="http://schemas.openxmlformats.org/officeDocument/2006/relationships/hyperlink" Target="mailto:janettejarabata84@gmail.com" TargetMode="External"/><Relationship Id="rId477" Type="http://schemas.openxmlformats.org/officeDocument/2006/relationships/table" Target="../tables/table1.xml"/><Relationship Id="rId113" Type="http://schemas.openxmlformats.org/officeDocument/2006/relationships/hyperlink" Target="https://www.airbnb.com/hosting/listings/editor/1218744809755765369/details/photo-tour" TargetMode="External"/><Relationship Id="rId234" Type="http://schemas.openxmlformats.org/officeDocument/2006/relationships/hyperlink" Target="https://admin.booking.com/hotel/hoteladmin/extranet_ng/manage/home.html?hotel_account_id=15487701&amp;hotel_id=10760175&amp;ses=76a12ded010144b8d35db3bc8a9efcb3&amp;lang=xu" TargetMode="External"/><Relationship Id="rId355" Type="http://schemas.openxmlformats.org/officeDocument/2006/relationships/hyperlink" Target="https://admin.booking.com/hotel/hoteladmin/extranet_ng/manage/home.html?ses=76a12ded010144b8d35db3bc8a9efcb3&amp;hotel_account_id=15487701&amp;lang=xu&amp;hotel_id=12694593" TargetMode="External"/><Relationship Id="rId112" Type="http://schemas.openxmlformats.org/officeDocument/2006/relationships/hyperlink" Target="mailto:villanueva_ira@yahoo.com" TargetMode="External"/><Relationship Id="rId233" Type="http://schemas.openxmlformats.org/officeDocument/2006/relationships/hyperlink" Target="https://www.airbnb.com/hosting/listings/editor/978643171763950916/details/photo-tour" TargetMode="External"/><Relationship Id="rId354" Type="http://schemas.openxmlformats.org/officeDocument/2006/relationships/hyperlink" Target="https://www.airbnb.com/hosting/listings/editor/1221436198740863739/details/photo-tour" TargetMode="External"/><Relationship Id="rId111" Type="http://schemas.openxmlformats.org/officeDocument/2006/relationships/hyperlink" Target="https://ycs.agoda.com/mldc/en-us/app/reporting/dashboard/74596389" TargetMode="External"/><Relationship Id="rId232" Type="http://schemas.openxmlformats.org/officeDocument/2006/relationships/hyperlink" Target="https://ycs.agoda.com/mldc/en-us/app/reporting/dashboard/57145791" TargetMode="External"/><Relationship Id="rId353" Type="http://schemas.openxmlformats.org/officeDocument/2006/relationships/hyperlink" Target="https://drive.google.com/file/d/1SwoBfXRn_7LUHZaF9SIdiT7XSEzeLMVT/view?usp=drive_link" TargetMode="External"/><Relationship Id="rId474" Type="http://schemas.openxmlformats.org/officeDocument/2006/relationships/vmlDrawing" Target="../drawings/vmlDrawing2.vml"/><Relationship Id="rId305" Type="http://schemas.openxmlformats.org/officeDocument/2006/relationships/hyperlink" Target="mailto:goldameirchua@gycmarketingopc.com" TargetMode="External"/><Relationship Id="rId426" Type="http://schemas.openxmlformats.org/officeDocument/2006/relationships/hyperlink" Target="https://www.agoda.com/wv-8-serene-family-room/hotel/iloilo-ph.html?hotel_id=55799894&amp;ds=Pqpv9ubB85m68Ltp" TargetMode="External"/><Relationship Id="rId304" Type="http://schemas.openxmlformats.org/officeDocument/2006/relationships/hyperlink" Target="https://www.agoda.com/s2-chic-minimalist-escape/hotel/iloilo-ph.html?hotel_id=58971307&amp;ds=Pqpv9ubB85m68Ltp" TargetMode="External"/><Relationship Id="rId425" Type="http://schemas.openxmlformats.org/officeDocument/2006/relationships/hyperlink" Target="https://admin.booking.com/hotel/hoteladmin/extranet_ng/manage/home.html?ses=76a12ded010144b8d35db3bc8a9efcb3&amp;hotel_account_id=15487701&amp;hotel_id=11995433&amp;lang=xu" TargetMode="External"/><Relationship Id="rId303" Type="http://schemas.openxmlformats.org/officeDocument/2006/relationships/hyperlink" Target="https://admin.booking.com/hotel/hoteladmin/extranet_ng/manage/home.html?hotel_account_id=15487701&amp;lang=xu&amp;hotel_id=12367868&amp;ses=76a12ded010144b8d35db3bc8a9efcb3" TargetMode="External"/><Relationship Id="rId424" Type="http://schemas.openxmlformats.org/officeDocument/2006/relationships/hyperlink" Target="https://www.airbnb.com/hosting/listings/editor/1144732457996186961/details/photo-tour" TargetMode="External"/><Relationship Id="rId302" Type="http://schemas.openxmlformats.org/officeDocument/2006/relationships/hyperlink" Target="https://www.airbnb.com/hosting/listings/editor/1188180729327394587/details/photo-tour" TargetMode="External"/><Relationship Id="rId423" Type="http://schemas.openxmlformats.org/officeDocument/2006/relationships/hyperlink" Target="https://www.airbnb.com/hosting/listings/editor/1387298405913402084/details/photo-tour" TargetMode="External"/><Relationship Id="rId309" Type="http://schemas.openxmlformats.org/officeDocument/2006/relationships/hyperlink" Target="https://www.airbnb.com/hosting/listings/editor/1105552259802640939/details/photo-tour" TargetMode="External"/><Relationship Id="rId308" Type="http://schemas.openxmlformats.org/officeDocument/2006/relationships/hyperlink" Target="https://ycs.agoda.com/mldc/en-us/app/reporting/dashboard/48825361" TargetMode="External"/><Relationship Id="rId429" Type="http://schemas.openxmlformats.org/officeDocument/2006/relationships/hyperlink" Target="https://www.agoda.com/wv-9-best-value-barkada-room/hotel/iloilo-ph.html?hotel_id=55799904&amp;ds=Pqpv9ubB85m68Ltp" TargetMode="External"/><Relationship Id="rId307" Type="http://schemas.openxmlformats.org/officeDocument/2006/relationships/hyperlink" Target="https://admin.booking.com/hotel/hoteladmin/extranet_ng/manage/home.html?hotel_id=11160746&amp;hotel_account_id=15487701&amp;lang=xu&amp;ses=76a12ded010144b8d35db3bc8a9efcb3" TargetMode="External"/><Relationship Id="rId428" Type="http://schemas.openxmlformats.org/officeDocument/2006/relationships/hyperlink" Target="https://admin.booking.com/hotel/hoteladmin/extranet_ng/manage/home.html?hotel_account_id=15487701&amp;hotel_id=12071205&amp;ses=76a12ded010144b8d35db3bc8a9efcb3&amp;lang=xu" TargetMode="External"/><Relationship Id="rId306" Type="http://schemas.openxmlformats.org/officeDocument/2006/relationships/hyperlink" Target="https://www.airbnb.com/hosting/listings/editor/1036582150593402952/details/photo-tour" TargetMode="External"/><Relationship Id="rId427" Type="http://schemas.openxmlformats.org/officeDocument/2006/relationships/hyperlink" Target="https://www.airbnb.com/hosting/listings/editor/1146691108371016075/details/photo-tour" TargetMode="External"/><Relationship Id="rId301" Type="http://schemas.openxmlformats.org/officeDocument/2006/relationships/hyperlink" Target="mailto:n_pison@yahoo.com" TargetMode="External"/><Relationship Id="rId422" Type="http://schemas.openxmlformats.org/officeDocument/2006/relationships/hyperlink" Target="https://www.agoda.com/wv-21-bright-airy-studio/hotel/iloilo-ph.html?hotel_id=68515704&amp;ds=Pqpv9ubB85m68Ltp" TargetMode="External"/><Relationship Id="rId300" Type="http://schemas.openxmlformats.org/officeDocument/2006/relationships/hyperlink" Target="mailto:n_pison@yahoo.com" TargetMode="External"/><Relationship Id="rId421" Type="http://schemas.openxmlformats.org/officeDocument/2006/relationships/hyperlink" Target="https://admin.booking.com/hotel/hoteladmin/extranet_ng/manage/home.html?hotel_account_id=15487701&amp;hotel_id=13619153&amp;lang=xu&amp;ses=077f0355f225198545ac0c6aeb1f1df5" TargetMode="External"/><Relationship Id="rId420" Type="http://schemas.openxmlformats.org/officeDocument/2006/relationships/hyperlink" Target="https://www.airbnb.com/hosting/listings/editor/1353162688699627471/details/photo-tour" TargetMode="External"/><Relationship Id="rId415" Type="http://schemas.openxmlformats.org/officeDocument/2006/relationships/hyperlink" Target="https://admin.booking.com/hotel/hoteladmin/extranet_ng/manage/home.html?ses=077f0355f225198545ac0c6aeb1f1df5&amp;hotel_account_id=15487701&amp;hotel_id=13378909&amp;lang=xu" TargetMode="External"/><Relationship Id="rId414" Type="http://schemas.openxmlformats.org/officeDocument/2006/relationships/hyperlink" Target="https://www.airbnb.com/hosting/listings/editor/1307941763076379574/details/photo-tour" TargetMode="External"/><Relationship Id="rId413" Type="http://schemas.openxmlformats.org/officeDocument/2006/relationships/hyperlink" Target="https://drive.google.com/file/d/1dPncYzLFabMEEcNb-poLvlzyWi5iR3AI/view?usp=drive_link" TargetMode="External"/><Relationship Id="rId412" Type="http://schemas.openxmlformats.org/officeDocument/2006/relationships/hyperlink" Target="https://www.agoda.com/wv-7-serene-haven/hotel/iloilo-ph.html?hotel_id=55790722&amp;ds=Pqpv9ubB85m68Ltp" TargetMode="External"/><Relationship Id="rId419" Type="http://schemas.openxmlformats.org/officeDocument/2006/relationships/hyperlink" Target="https://www.agoda.com/wv-20-smooth-space-minimalist-apartment/hotel/iloilo-ph.html?hotel_id=68515718&amp;ds=Pqpv9ubB85m68Ltp" TargetMode="External"/><Relationship Id="rId418" Type="http://schemas.openxmlformats.org/officeDocument/2006/relationships/hyperlink" Target="https://admin.booking.com/hotel/hoteladmin/extranet_ng/manage/home.html?hotel_account_id=15487701&amp;lang=xu&amp;hotel_id=13434254&amp;ses=077f0355f225198545ac0c6aeb1f1df5" TargetMode="External"/><Relationship Id="rId417" Type="http://schemas.openxmlformats.org/officeDocument/2006/relationships/hyperlink" Target="https://www.airbnb.com/hosting/listings/editor/1333927702487067315/details/photo-tour" TargetMode="External"/><Relationship Id="rId416" Type="http://schemas.openxmlformats.org/officeDocument/2006/relationships/hyperlink" Target="https://drive.google.com/file/d/1broOAiRc2FPrI2LjHO0nBAko3exf28TK/view?usp=drive_link" TargetMode="External"/><Relationship Id="rId411" Type="http://schemas.openxmlformats.org/officeDocument/2006/relationships/hyperlink" Target="https://admin.booking.com/hotel/hoteladmin/extranet_ng/manage/home.html?ses=76a12ded010144b8d35db3bc8a9efcb3&amp;hotel_id=11995203&amp;lang=xu&amp;hotel_account_id=15487701" TargetMode="External"/><Relationship Id="rId410" Type="http://schemas.openxmlformats.org/officeDocument/2006/relationships/hyperlink" Target="https://www.airbnb.com/hosting/listings/editor/1142515886422482744/details/photo-tour" TargetMode="External"/><Relationship Id="rId206" Type="http://schemas.openxmlformats.org/officeDocument/2006/relationships/hyperlink" Target="https://www.airbnb.com/hosting/listings/editor/1055540394247049511/details/photo-tour" TargetMode="External"/><Relationship Id="rId327" Type="http://schemas.openxmlformats.org/officeDocument/2006/relationships/hyperlink" Target="https://www.airbnb.com/hosting/listings/editor/892681542674201183/view-your-space" TargetMode="External"/><Relationship Id="rId448" Type="http://schemas.openxmlformats.org/officeDocument/2006/relationships/hyperlink" Target="https://drive.google.com/file/d/19Kjgzik9RGtvIYbWBmQUeBhVe3INHXU9/view?usp=drive_link" TargetMode="External"/><Relationship Id="rId205" Type="http://schemas.openxmlformats.org/officeDocument/2006/relationships/hyperlink" Target="https://ycs.agoda.com/mldc/en-us/app/reporting/dashboard/45242270" TargetMode="External"/><Relationship Id="rId326" Type="http://schemas.openxmlformats.org/officeDocument/2006/relationships/hyperlink" Target="https://www.agoda.com/bt-1-chic-city-studio-retreat/hotel/iloilo-ph.html?hotel_id=69360600&amp;ds=Pqpv9ubB85m68Ltp" TargetMode="External"/><Relationship Id="rId447" Type="http://schemas.openxmlformats.org/officeDocument/2006/relationships/hyperlink" Target="mailto:genalynpdagum@gmail.com" TargetMode="External"/><Relationship Id="rId204" Type="http://schemas.openxmlformats.org/officeDocument/2006/relationships/hyperlink" Target="https://admin.booking.com/hotel/hoteladmin/extranet_ng/manage/home.html?hotel_account_id=15487701&amp;hotel_id=10489878&amp;ses=76a12ded010144b8d35db3bc8a9efcb3&amp;lang=xu" TargetMode="External"/><Relationship Id="rId325" Type="http://schemas.openxmlformats.org/officeDocument/2006/relationships/hyperlink" Target="https://admin.booking.com/hotel/hoteladmin/extranet_ng/manage/home.html?hotel_id=13927354&amp;ses=077f0355f225198545ac0c6aeb1f1df5&amp;lang=xu&amp;hotel_account_id=15487701" TargetMode="External"/><Relationship Id="rId446" Type="http://schemas.openxmlformats.org/officeDocument/2006/relationships/hyperlink" Target="https://admin.booking.com/hotel/hoteladmin/extranet_ng/manage/home.html?ses=76a12ded010144b8d35db3bc8a9efcb3&amp;hotel_id=12986167&amp;lang=xu&amp;hotel_account_id=15487701" TargetMode="External"/><Relationship Id="rId203" Type="http://schemas.openxmlformats.org/officeDocument/2006/relationships/hyperlink" Target="https://www.airbnb.com/hosting/listings/editor/940335667796803308/details/photo-tour" TargetMode="External"/><Relationship Id="rId324" Type="http://schemas.openxmlformats.org/officeDocument/2006/relationships/hyperlink" Target="https://www.airbnb.com/hosting/listings/editor/1394687232621406570/details/photo-tour" TargetMode="External"/><Relationship Id="rId445" Type="http://schemas.openxmlformats.org/officeDocument/2006/relationships/hyperlink" Target="https://www.airbnb.com/hosting/listings/editor/1238967091858836322/details/photo-tour" TargetMode="External"/><Relationship Id="rId209" Type="http://schemas.openxmlformats.org/officeDocument/2006/relationships/hyperlink" Target="https://admin.booking.com/hotel/hoteladmin/extranet_ng/manage/home.html?hotel_id=11483274&amp;hotel_account_id=15487701&amp;lang=xu&amp;ses=76a12ded010144b8d35db3bc8a9efcb3" TargetMode="External"/><Relationship Id="rId208" Type="http://schemas.openxmlformats.org/officeDocument/2006/relationships/hyperlink" Target="https://www.airbnb.com/hosting/listings/editor/1081750751540071939/details/photo-tour" TargetMode="External"/><Relationship Id="rId329" Type="http://schemas.openxmlformats.org/officeDocument/2006/relationships/hyperlink" Target="https://ycs.agoda.com/mldc/en-us/app/reporting/dashboard/45262054" TargetMode="External"/><Relationship Id="rId207" Type="http://schemas.openxmlformats.org/officeDocument/2006/relationships/hyperlink" Target="https://admin.booking.com/hotel/hoteladmin/extranet_ng/manage/home.html?hotel_account_id=15487701&amp;lang=xu&amp;ses=76a12ded010144b8d35db3bc8a9efcb3&amp;hotel_id=11333045" TargetMode="External"/><Relationship Id="rId328" Type="http://schemas.openxmlformats.org/officeDocument/2006/relationships/hyperlink" Target="https://admin.booking.com/hotel/hoteladmin/extranet_ng/manage/home.html?lang=xu&amp;hotel_account_id=15487701&amp;ses=76a12ded010144b8d35db3bc8a9efcb3&amp;hotel_id=10710893" TargetMode="External"/><Relationship Id="rId449" Type="http://schemas.openxmlformats.org/officeDocument/2006/relationships/hyperlink" Target="https://www.airbnb.com/hosting/listings/editor/1249138700555683851/details/photo-tour" TargetMode="External"/><Relationship Id="rId440" Type="http://schemas.openxmlformats.org/officeDocument/2006/relationships/hyperlink" Target="https://drive.google.com/file/d/1oU0kJLq2EBSG6U_Sye1azTKJJrhmuB2s/view?usp=drive_link" TargetMode="External"/><Relationship Id="rId202" Type="http://schemas.openxmlformats.org/officeDocument/2006/relationships/hyperlink" Target="mailto:Aaronsales.j@gmail.com" TargetMode="External"/><Relationship Id="rId323" Type="http://schemas.openxmlformats.org/officeDocument/2006/relationships/hyperlink" Target="https://www.agoda.com/y2-pool-garden-bliss-h68515773/hotel/iloilo-ph.html?hotel_id=68515773&amp;ds=Pqpv9ubB85m68Ltp" TargetMode="External"/><Relationship Id="rId444" Type="http://schemas.openxmlformats.org/officeDocument/2006/relationships/hyperlink" Target="https://drive.google.com/file/d/1VwV9OuknH43vR-h6TSooJ-k_6i0SuyTm/view?usp=drive_link" TargetMode="External"/><Relationship Id="rId201" Type="http://schemas.openxmlformats.org/officeDocument/2006/relationships/hyperlink" Target="https://www.agoda.com/v2-relaxing-studio-escape/hotel/iloilo-ph.html?hotel_id=68515785&amp;ds=Pqpv9ubB85m68Ltp" TargetMode="External"/><Relationship Id="rId322" Type="http://schemas.openxmlformats.org/officeDocument/2006/relationships/hyperlink" Target="https://admin.booking.com/hotel/hoteladmin/extranet_ng/manage/home.html?ses=76a12ded010144b8d35db3bc8a9efcb3&amp;lang=xu&amp;hotel_account_id=15487701&amp;hotel_id=12826083" TargetMode="External"/><Relationship Id="rId443" Type="http://schemas.openxmlformats.org/officeDocument/2006/relationships/hyperlink" Target="mailto:joseroyhipolito71@gmail.com" TargetMode="External"/><Relationship Id="rId200" Type="http://schemas.openxmlformats.org/officeDocument/2006/relationships/hyperlink" Target="https://admin.booking.com/hotel/hoteladmin/extranet_ng/manage/home.html?hotel_account_id=15487701&amp;hotel_id=12810552&amp;ses=76a12ded010144b8d35db3bc8a9efcb3&amp;lang=xu" TargetMode="External"/><Relationship Id="rId321" Type="http://schemas.openxmlformats.org/officeDocument/2006/relationships/hyperlink" Target="https://www.airbnb.com/hosting/listings/editor/1228154900469379026/details/photo-tour" TargetMode="External"/><Relationship Id="rId442" Type="http://schemas.openxmlformats.org/officeDocument/2006/relationships/hyperlink" Target="https://admin.booking.com/hotel/hoteladmin/extranet_ng/manage/home.html?hotel_id=12985989&amp;ses=76a12ded010144b8d35db3bc8a9efcb3&amp;lang=xu&amp;hotel_account_id=15487701" TargetMode="External"/><Relationship Id="rId320" Type="http://schemas.openxmlformats.org/officeDocument/2006/relationships/hyperlink" Target="https://drive.google.com/file/d/1JWW9MiRwK_fs5gq3pIZzQS5iaz8PT4BF/view?usp=drive_link" TargetMode="External"/><Relationship Id="rId441" Type="http://schemas.openxmlformats.org/officeDocument/2006/relationships/hyperlink" Target="https://www.airbnb.com/hosting/listings/editor/1235422697667793992/details/photo-tour" TargetMode="External"/><Relationship Id="rId316" Type="http://schemas.openxmlformats.org/officeDocument/2006/relationships/hyperlink" Target="https://www.airbnb.com/hosting/listings/editor/1191889874393267312/details/photo-tour" TargetMode="External"/><Relationship Id="rId437" Type="http://schemas.openxmlformats.org/officeDocument/2006/relationships/hyperlink" Target="https://drive.google.com/file/d/1oU0kJLq2EBSG6U_Sye1azTKJJrhmuB2s/view?usp=drive_link" TargetMode="External"/><Relationship Id="rId315" Type="http://schemas.openxmlformats.org/officeDocument/2006/relationships/hyperlink" Target="https://drive.google.com/file/d/1RrPABjXPzJAFRcDQvuefzublr-2U4s8a/view?usp=drive_link" TargetMode="External"/><Relationship Id="rId436" Type="http://schemas.openxmlformats.org/officeDocument/2006/relationships/hyperlink" Target="mailto:bonnyapparelinc@gmail.com" TargetMode="External"/><Relationship Id="rId314" Type="http://schemas.openxmlformats.org/officeDocument/2006/relationships/hyperlink" Target="mailto:lparanpan@yahoo.com" TargetMode="External"/><Relationship Id="rId435" Type="http://schemas.openxmlformats.org/officeDocument/2006/relationships/hyperlink" Target="https://admin.booking.com/hotel/hoteladmin/extranet_ng/manage/home.html?hotel_id=12367815&amp;lang=xu&amp;hotel_account_id=15487701&amp;ses=76a12ded010144b8d35db3bc8a9efcb3" TargetMode="External"/><Relationship Id="rId313" Type="http://schemas.openxmlformats.org/officeDocument/2006/relationships/hyperlink" Target="https://admin.booking.com/hotel/hoteladmin/extranet_ng/manage/home.html?ses=76a12ded010144b8d35db3bc8a9efcb3&amp;lang=xu&amp;hotel_account_id=15487701&amp;hotel_id=10258279" TargetMode="External"/><Relationship Id="rId434" Type="http://schemas.openxmlformats.org/officeDocument/2006/relationships/hyperlink" Target="https://www.airbnb.com/hosting/listings/editor/1186007232780118531/details/photo-tour" TargetMode="External"/><Relationship Id="rId319" Type="http://schemas.openxmlformats.org/officeDocument/2006/relationships/hyperlink" Target="mailto:arlandbarvilla@gmail.com" TargetMode="External"/><Relationship Id="rId318" Type="http://schemas.openxmlformats.org/officeDocument/2006/relationships/hyperlink" Target="https://ycs.agoda.com/mldc/en-us/app/reporting/dashboard/59123080" TargetMode="External"/><Relationship Id="rId439" Type="http://schemas.openxmlformats.org/officeDocument/2006/relationships/hyperlink" Target="https://admin.booking.com/hotel/hoteladmin/extranet_ng/manage/home.html?hotel_id=13001407&amp;hotel_account_id=15487701&amp;lang=xu&amp;ses=76a12ded010144b8d35db3bc8a9efcb3" TargetMode="External"/><Relationship Id="rId317" Type="http://schemas.openxmlformats.org/officeDocument/2006/relationships/hyperlink" Target="https://admin.booking.com/hotel/hoteladmin/extranet_ng/manage/home.html?hotel_account_id=15487701&amp;hotel_id=12427766&amp;lang=xu&amp;ses=76a12ded010144b8d35db3bc8a9efcb3" TargetMode="External"/><Relationship Id="rId438" Type="http://schemas.openxmlformats.org/officeDocument/2006/relationships/hyperlink" Target="https://www.airbnb.com/hosting/listings/editor/1235416807560327799/details/photo-tour" TargetMode="External"/><Relationship Id="rId312" Type="http://schemas.openxmlformats.org/officeDocument/2006/relationships/hyperlink" Target="https://www.airbnb.com/hosting/listings/editor/912931240872844647/details/photo-tour" TargetMode="External"/><Relationship Id="rId433" Type="http://schemas.openxmlformats.org/officeDocument/2006/relationships/hyperlink" Target="https://admin.booking.com/hotel/hoteladmin/extranet_ng/manage/home.html?hotel_id=12021042&amp;lang=xu&amp;ses=76a12ded010144b8d35db3bc8a9efcb3&amp;hotel_account_id=15487701" TargetMode="External"/><Relationship Id="rId311" Type="http://schemas.openxmlformats.org/officeDocument/2006/relationships/hyperlink" Target="https://www.agoda.com/k2-nordic-haven/hotel/iloilo-ph.html?hotel_id=55833982&amp;ds=GKoFmbWoznfkzC0v" TargetMode="External"/><Relationship Id="rId432" Type="http://schemas.openxmlformats.org/officeDocument/2006/relationships/hyperlink" Target="https://www.airbnb.com/hosting/listings/editor/1221609341379059888/details/photo-tour/https://www.airbnb.com/hosting/listings/editor/1149846344378156078/details/photo-tour" TargetMode="External"/><Relationship Id="rId310" Type="http://schemas.openxmlformats.org/officeDocument/2006/relationships/hyperlink" Target="https://admin.booking.com/hotel/hoteladmin/extranet_ng/manage/home.html?hotel_account_id=15487701&amp;lang=xu&amp;hotel_id=11656730&amp;ses=76a12ded010144b8d35db3bc8a9efcb3" TargetMode="External"/><Relationship Id="rId431" Type="http://schemas.openxmlformats.org/officeDocument/2006/relationships/hyperlink" Target="https://drive.google.com/file/d/1FlexAsJfcc9FR-b5dV7C0SY-fpdyQ1VB/view?usp=drive_link" TargetMode="External"/><Relationship Id="rId430" Type="http://schemas.openxmlformats.org/officeDocument/2006/relationships/hyperlink" Target="mailto:barvillaj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KYL0Acu3VGqUyxXqYSPH_J1W-zkx5gpn" TargetMode="External"/><Relationship Id="rId2" Type="http://schemas.openxmlformats.org/officeDocument/2006/relationships/hyperlink" Target="https://drive.google.com/file/d/14j7LrIx-KCUkK1mQgBOJN3-AYs2Poxrq/view?usp=drive_link" TargetMode="External"/><Relationship Id="rId3" Type="http://schemas.openxmlformats.org/officeDocument/2006/relationships/hyperlink" Target="https://drive.google.com/file/d/1BA2RYKTAUzBF_8ACo13Ke4sZbdWaEJxR/view?usp=drive_link" TargetMode="External"/><Relationship Id="rId4" Type="http://schemas.openxmlformats.org/officeDocument/2006/relationships/hyperlink" Target="https://drive.google.com/file/d/18oRhp5KdjfGFdfQhVldPzUH0_-qrCMH2/view?usp=drive_link" TargetMode="External"/><Relationship Id="rId9" Type="http://schemas.openxmlformats.org/officeDocument/2006/relationships/hyperlink" Target="https://drive.google.com/file/d/1Z4_v8egXBiC_OK_J-I79lLXUEn3-403j/view?usp=drive_link" TargetMode="External"/><Relationship Id="rId5" Type="http://schemas.openxmlformats.org/officeDocument/2006/relationships/hyperlink" Target="https://drive.google.com/file/d/1RFfjPOi4Sr8fFZWAbhEHDe75SZkWAkoO/view?usp=drive_link" TargetMode="External"/><Relationship Id="rId6" Type="http://schemas.openxmlformats.org/officeDocument/2006/relationships/hyperlink" Target="https://drive.google.com/file/d/1enK-gpV9ToiDuM0un65G03QOVfuyDwGI/view?usp=drive_link" TargetMode="External"/><Relationship Id="rId7" Type="http://schemas.openxmlformats.org/officeDocument/2006/relationships/hyperlink" Target="https://drive.google.com/file/d/1kyMDUOR4tREiuynG4mYaJEwgBxda6nEz/view?usp=drive_link" TargetMode="External"/><Relationship Id="rId8" Type="http://schemas.openxmlformats.org/officeDocument/2006/relationships/hyperlink" Target="https://drive.google.com/file/d/1ldTMFRdBxQlOVJ58gQmnhSJhBynNWv8T/view?usp=drive_link" TargetMode="External"/><Relationship Id="rId11" Type="http://schemas.openxmlformats.org/officeDocument/2006/relationships/hyperlink" Target="https://drive.google.com/file/d/1R4tWt_nncwCOMhaJaFXRLbC-M0_nG2iB/view?usp=drive_link" TargetMode="External"/><Relationship Id="rId10" Type="http://schemas.openxmlformats.org/officeDocument/2006/relationships/hyperlink" Target="https://drive.google.com/drive/folders/1CufqQOGbL4PJgNoR5Tdnti6QJpAE1CRT?usp=drive_link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rive.google.com/file/d/1-z-HuqHnA1T8GusfKUjSGn8Eevq83qIa/view?usp=drive_link" TargetMode="External"/><Relationship Id="rId1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3" width="15.13"/>
    <col customWidth="1" min="4" max="4" width="17.0"/>
    <col customWidth="1" min="5" max="5" width="18.0"/>
    <col customWidth="1" min="6" max="7" width="34.88"/>
    <col customWidth="1" min="8" max="8" width="20.13"/>
    <col customWidth="1" min="9" max="9" width="19.63"/>
    <col customWidth="1" min="10" max="11" width="14.0"/>
    <col customWidth="1" min="12" max="12" width="16.63"/>
    <col customWidth="1" min="13" max="13" width="35.63"/>
    <col customWidth="1" min="14" max="14" width="21.0"/>
    <col customWidth="1" min="15" max="15" width="38.75"/>
    <col customWidth="1" min="16" max="16" width="19.38"/>
    <col customWidth="1" min="17" max="19" width="22.38"/>
    <col customWidth="1" min="20" max="38" width="23.0"/>
    <col customWidth="1" min="39" max="48" width="12.5"/>
  </cols>
  <sheetData>
    <row r="1" ht="15.75" customHeight="1">
      <c r="A1" s="3" t="s">
        <v>0</v>
      </c>
      <c r="B1" s="3" t="s">
        <v>1</v>
      </c>
      <c r="C1" s="3" t="s">
        <v>6</v>
      </c>
      <c r="D1" s="3" t="s">
        <v>8</v>
      </c>
      <c r="E1" s="6" t="s">
        <v>10</v>
      </c>
      <c r="F1" s="3" t="s">
        <v>13</v>
      </c>
      <c r="G1" s="3" t="s">
        <v>15</v>
      </c>
      <c r="H1" s="8" t="s">
        <v>16</v>
      </c>
      <c r="I1" s="3" t="s">
        <v>3</v>
      </c>
      <c r="J1" s="10" t="s">
        <v>4</v>
      </c>
      <c r="K1" s="10" t="s">
        <v>5</v>
      </c>
      <c r="L1" s="3" t="s">
        <v>20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25"/>
      <c r="AN1" s="25"/>
      <c r="AO1" s="25"/>
      <c r="AP1" s="25"/>
      <c r="AQ1" s="25"/>
      <c r="AR1" s="25"/>
      <c r="AS1" s="25"/>
      <c r="AT1" s="25"/>
      <c r="AU1" s="25"/>
      <c r="AV1" s="25"/>
    </row>
    <row r="2">
      <c r="A2" s="30" t="s">
        <v>44</v>
      </c>
      <c r="B2" s="33" t="s">
        <v>46</v>
      </c>
      <c r="C2" s="30" t="s">
        <v>48</v>
      </c>
      <c r="D2" s="30" t="s">
        <v>50</v>
      </c>
      <c r="E2" s="33" t="s">
        <v>51</v>
      </c>
      <c r="F2" s="33" t="s">
        <v>53</v>
      </c>
      <c r="G2" s="34" t="s">
        <v>55</v>
      </c>
      <c r="H2" s="33"/>
      <c r="I2" s="35" t="s">
        <v>58</v>
      </c>
      <c r="J2" s="38">
        <v>45184.0</v>
      </c>
      <c r="K2" s="40" t="s">
        <v>62</v>
      </c>
      <c r="L2" s="47" t="str">
        <f t="shared" ref="L2:L31" si="1">ifs(C2="INACTIVE","INACTIVE",C2="IN PROGRESS","IN PROGRESS",K2="","",K2="MISSING","?",K2-TODAY()&gt;0,K2-TODAY(),K2-TODAY()&lt;0,"EXPIRED")</f>
        <v>?</v>
      </c>
      <c r="M2" s="47"/>
      <c r="N2" s="49" t="s">
        <v>46</v>
      </c>
      <c r="O2" s="54" t="s">
        <v>81</v>
      </c>
      <c r="P2" s="49" t="s">
        <v>46</v>
      </c>
      <c r="Q2" s="57"/>
      <c r="R2" s="57"/>
      <c r="S2" s="57"/>
      <c r="T2" s="57"/>
      <c r="AM2" s="60"/>
      <c r="AN2" s="60"/>
      <c r="AO2" s="60"/>
      <c r="AP2" s="60"/>
      <c r="AQ2" s="60"/>
      <c r="AR2" s="60"/>
      <c r="AS2" s="60"/>
      <c r="AT2" s="60"/>
      <c r="AU2" s="60"/>
      <c r="AV2" s="60"/>
    </row>
    <row r="3">
      <c r="A3" s="61" t="s">
        <v>44</v>
      </c>
      <c r="B3" s="62" t="s">
        <v>86</v>
      </c>
      <c r="C3" s="61" t="s">
        <v>48</v>
      </c>
      <c r="D3" s="61" t="s">
        <v>50</v>
      </c>
      <c r="E3" s="62" t="s">
        <v>87</v>
      </c>
      <c r="F3" s="62" t="s">
        <v>88</v>
      </c>
      <c r="G3" s="63" t="s">
        <v>55</v>
      </c>
      <c r="H3" s="62"/>
      <c r="I3" s="64" t="s">
        <v>58</v>
      </c>
      <c r="J3" s="65">
        <v>45180.0</v>
      </c>
      <c r="K3" s="66" t="s">
        <v>62</v>
      </c>
      <c r="L3" s="68" t="str">
        <f t="shared" si="1"/>
        <v>?</v>
      </c>
      <c r="M3" s="68"/>
      <c r="N3" s="71" t="s">
        <v>86</v>
      </c>
      <c r="O3" s="71" t="s">
        <v>89</v>
      </c>
      <c r="P3" s="71" t="s">
        <v>86</v>
      </c>
      <c r="Q3" s="72"/>
      <c r="R3" s="72"/>
      <c r="S3" s="72"/>
      <c r="T3" s="72"/>
      <c r="AM3" s="73"/>
      <c r="AN3" s="60"/>
      <c r="AO3" s="60"/>
      <c r="AP3" s="60"/>
      <c r="AQ3" s="60"/>
      <c r="AR3" s="60"/>
      <c r="AS3" s="60"/>
      <c r="AT3" s="60"/>
      <c r="AU3" s="60"/>
      <c r="AV3" s="60"/>
    </row>
    <row r="4" ht="15.75" customHeight="1">
      <c r="A4" s="30" t="s">
        <v>44</v>
      </c>
      <c r="B4" s="33" t="s">
        <v>93</v>
      </c>
      <c r="C4" s="30" t="s">
        <v>48</v>
      </c>
      <c r="D4" s="30" t="s">
        <v>50</v>
      </c>
      <c r="E4" s="33" t="s">
        <v>94</v>
      </c>
      <c r="F4" s="33" t="s">
        <v>95</v>
      </c>
      <c r="G4" s="34" t="s">
        <v>55</v>
      </c>
      <c r="H4" s="33"/>
      <c r="I4" s="35" t="s">
        <v>58</v>
      </c>
      <c r="J4" s="38">
        <v>45180.0</v>
      </c>
      <c r="K4" s="40" t="s">
        <v>62</v>
      </c>
      <c r="L4" s="47" t="str">
        <f t="shared" si="1"/>
        <v>?</v>
      </c>
      <c r="M4" s="47"/>
      <c r="N4" s="57"/>
      <c r="O4" s="57"/>
      <c r="P4" s="57"/>
      <c r="Q4" s="57"/>
      <c r="R4" s="57"/>
      <c r="S4" s="57"/>
      <c r="T4" s="57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 ht="15.75" customHeight="1">
      <c r="A5" s="61" t="s">
        <v>44</v>
      </c>
      <c r="B5" s="62" t="s">
        <v>97</v>
      </c>
      <c r="C5" s="61" t="s">
        <v>48</v>
      </c>
      <c r="D5" s="61" t="s">
        <v>50</v>
      </c>
      <c r="E5" s="62" t="s">
        <v>87</v>
      </c>
      <c r="F5" s="62" t="s">
        <v>98</v>
      </c>
      <c r="G5" s="63" t="s">
        <v>55</v>
      </c>
      <c r="H5" s="62"/>
      <c r="I5" s="64" t="s">
        <v>58</v>
      </c>
      <c r="J5" s="80">
        <v>45458.0</v>
      </c>
      <c r="K5" s="65">
        <v>46188.0</v>
      </c>
      <c r="L5" s="68" t="str">
        <f t="shared" si="1"/>
        <v>EXPIRED</v>
      </c>
      <c r="M5" s="68"/>
      <c r="N5" s="81" t="s">
        <v>97</v>
      </c>
      <c r="O5" s="82" t="s">
        <v>99</v>
      </c>
      <c r="P5" s="83" t="s">
        <v>97</v>
      </c>
      <c r="Q5" s="72"/>
      <c r="R5" s="72"/>
      <c r="S5" s="72"/>
      <c r="T5" s="72"/>
      <c r="U5" s="51"/>
      <c r="AM5" s="60"/>
      <c r="AN5" s="60"/>
      <c r="AO5" s="60"/>
      <c r="AP5" s="60"/>
      <c r="AQ5" s="60"/>
      <c r="AR5" s="60"/>
      <c r="AS5" s="60"/>
      <c r="AT5" s="60"/>
      <c r="AU5" s="60"/>
      <c r="AV5" s="60"/>
    </row>
    <row r="6" ht="15.75" customHeight="1">
      <c r="A6" s="30" t="s">
        <v>44</v>
      </c>
      <c r="B6" s="33" t="s">
        <v>103</v>
      </c>
      <c r="C6" s="30" t="s">
        <v>104</v>
      </c>
      <c r="D6" s="30" t="s">
        <v>105</v>
      </c>
      <c r="E6" s="33" t="s">
        <v>87</v>
      </c>
      <c r="F6" s="33" t="s">
        <v>106</v>
      </c>
      <c r="G6" s="34" t="s">
        <v>55</v>
      </c>
      <c r="H6" s="33"/>
      <c r="I6" s="35" t="s">
        <v>58</v>
      </c>
      <c r="J6" s="38">
        <v>45061.0</v>
      </c>
      <c r="K6" s="40" t="s">
        <v>62</v>
      </c>
      <c r="L6" s="47" t="str">
        <f t="shared" si="1"/>
        <v>INACTIVE</v>
      </c>
      <c r="M6" s="47"/>
      <c r="N6" s="49" t="s">
        <v>103</v>
      </c>
      <c r="O6" s="54" t="s">
        <v>107</v>
      </c>
      <c r="P6" s="57"/>
      <c r="Q6" s="57"/>
      <c r="R6" s="57"/>
      <c r="S6" s="57"/>
      <c r="T6" s="57"/>
      <c r="AM6" s="60"/>
      <c r="AN6" s="60"/>
      <c r="AO6" s="60"/>
      <c r="AP6" s="60"/>
      <c r="AQ6" s="60"/>
      <c r="AR6" s="60"/>
      <c r="AS6" s="60"/>
      <c r="AT6" s="60"/>
      <c r="AU6" s="60"/>
      <c r="AV6" s="60"/>
    </row>
    <row r="7" ht="15.75" customHeight="1">
      <c r="A7" s="61" t="s">
        <v>44</v>
      </c>
      <c r="B7" s="62" t="s">
        <v>109</v>
      </c>
      <c r="C7" s="61" t="s">
        <v>48</v>
      </c>
      <c r="D7" s="61" t="s">
        <v>110</v>
      </c>
      <c r="E7" s="62" t="s">
        <v>51</v>
      </c>
      <c r="F7" s="62" t="s">
        <v>112</v>
      </c>
      <c r="G7" s="63" t="s">
        <v>113</v>
      </c>
      <c r="H7" s="85"/>
      <c r="I7" s="86" t="s">
        <v>83</v>
      </c>
      <c r="J7" s="65">
        <v>45717.0</v>
      </c>
      <c r="K7" s="65">
        <v>46082.0</v>
      </c>
      <c r="L7" s="68" t="str">
        <f t="shared" si="1"/>
        <v>EXPIRED</v>
      </c>
      <c r="M7" s="68"/>
      <c r="N7" s="81" t="s">
        <v>109</v>
      </c>
      <c r="O7" s="71" t="s">
        <v>115</v>
      </c>
      <c r="P7" s="71" t="s">
        <v>109</v>
      </c>
      <c r="Q7" s="72"/>
      <c r="R7" s="72"/>
      <c r="S7" s="72"/>
      <c r="T7" s="72"/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ht="15.75" customHeight="1">
      <c r="A8" s="30" t="s">
        <v>118</v>
      </c>
      <c r="B8" s="33" t="s">
        <v>119</v>
      </c>
      <c r="C8" s="30" t="s">
        <v>48</v>
      </c>
      <c r="D8" s="30" t="s">
        <v>120</v>
      </c>
      <c r="E8" s="33" t="s">
        <v>87</v>
      </c>
      <c r="F8" s="89" t="s">
        <v>121</v>
      </c>
      <c r="G8" s="34" t="s">
        <v>122</v>
      </c>
      <c r="H8" s="90"/>
      <c r="I8" s="91" t="s">
        <v>83</v>
      </c>
      <c r="J8" s="38">
        <v>45506.0</v>
      </c>
      <c r="K8" s="92">
        <v>45871.0</v>
      </c>
      <c r="L8" s="47" t="str">
        <f t="shared" si="1"/>
        <v>EXPIRED</v>
      </c>
      <c r="M8" s="93" t="s">
        <v>123</v>
      </c>
      <c r="N8" s="49" t="s">
        <v>119</v>
      </c>
      <c r="O8" s="54" t="s">
        <v>124</v>
      </c>
      <c r="P8" s="49" t="s">
        <v>119</v>
      </c>
      <c r="Q8" s="57"/>
      <c r="R8" s="57"/>
      <c r="S8" s="57"/>
      <c r="T8" s="57"/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ht="15.75" customHeight="1">
      <c r="A9" s="61" t="s">
        <v>118</v>
      </c>
      <c r="B9" s="62" t="s">
        <v>126</v>
      </c>
      <c r="C9" s="61" t="s">
        <v>48</v>
      </c>
      <c r="D9" s="61" t="s">
        <v>50</v>
      </c>
      <c r="E9" s="62" t="s">
        <v>87</v>
      </c>
      <c r="F9" s="95" t="s">
        <v>127</v>
      </c>
      <c r="G9" s="63" t="s">
        <v>55</v>
      </c>
      <c r="H9" s="62"/>
      <c r="I9" s="64" t="s">
        <v>58</v>
      </c>
      <c r="J9" s="65">
        <v>45245.0</v>
      </c>
      <c r="K9" s="66" t="s">
        <v>62</v>
      </c>
      <c r="L9" s="68" t="str">
        <f t="shared" si="1"/>
        <v>?</v>
      </c>
      <c r="M9" s="68"/>
      <c r="N9" s="71" t="s">
        <v>126</v>
      </c>
      <c r="O9" s="71" t="s">
        <v>128</v>
      </c>
      <c r="P9" s="81" t="s">
        <v>126</v>
      </c>
      <c r="Q9" s="72"/>
      <c r="R9" s="72"/>
      <c r="S9" s="72"/>
      <c r="T9" s="72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ht="15.75" customHeight="1">
      <c r="A10" s="30" t="s">
        <v>118</v>
      </c>
      <c r="B10" s="33" t="s">
        <v>129</v>
      </c>
      <c r="C10" s="30" t="s">
        <v>48</v>
      </c>
      <c r="D10" s="30" t="s">
        <v>50</v>
      </c>
      <c r="E10" s="33" t="s">
        <v>87</v>
      </c>
      <c r="F10" s="33" t="s">
        <v>130</v>
      </c>
      <c r="G10" s="34" t="s">
        <v>131</v>
      </c>
      <c r="H10" s="33"/>
      <c r="I10" s="35" t="s">
        <v>58</v>
      </c>
      <c r="J10" s="38">
        <v>45180.0</v>
      </c>
      <c r="K10" s="40" t="s">
        <v>62</v>
      </c>
      <c r="L10" s="47" t="str">
        <f t="shared" si="1"/>
        <v>?</v>
      </c>
      <c r="M10" s="98"/>
      <c r="N10" s="49" t="s">
        <v>129</v>
      </c>
      <c r="O10" s="54" t="s">
        <v>132</v>
      </c>
      <c r="P10" s="57"/>
      <c r="Q10" s="57"/>
      <c r="R10" s="57"/>
      <c r="S10" s="57"/>
      <c r="T10" s="57"/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ht="15.75" customHeight="1">
      <c r="A11" s="61" t="s">
        <v>118</v>
      </c>
      <c r="B11" s="62" t="s">
        <v>136</v>
      </c>
      <c r="C11" s="61" t="s">
        <v>137</v>
      </c>
      <c r="D11" s="61" t="s">
        <v>110</v>
      </c>
      <c r="E11" s="62" t="s">
        <v>87</v>
      </c>
      <c r="F11" s="99" t="s">
        <v>138</v>
      </c>
      <c r="G11" s="63" t="s">
        <v>139</v>
      </c>
      <c r="H11" s="100" t="s">
        <v>140</v>
      </c>
      <c r="I11" s="86" t="s">
        <v>83</v>
      </c>
      <c r="J11" s="65">
        <v>45461.0</v>
      </c>
      <c r="K11" s="101">
        <v>45826.0</v>
      </c>
      <c r="L11" s="68" t="str">
        <f t="shared" si="1"/>
        <v>EXPIRED</v>
      </c>
      <c r="M11" s="102" t="s">
        <v>141</v>
      </c>
      <c r="N11" s="81" t="s">
        <v>136</v>
      </c>
      <c r="O11" s="71" t="s">
        <v>143</v>
      </c>
      <c r="P11" s="71" t="s">
        <v>136</v>
      </c>
      <c r="Q11" s="72"/>
      <c r="R11" s="72"/>
      <c r="S11" s="72"/>
      <c r="T11" s="72"/>
      <c r="AM11" s="60"/>
      <c r="AN11" s="60"/>
      <c r="AO11" s="60"/>
      <c r="AP11" s="60"/>
      <c r="AQ11" s="60"/>
      <c r="AR11" s="60"/>
      <c r="AS11" s="60"/>
      <c r="AT11" s="60"/>
      <c r="AU11" s="60"/>
      <c r="AV11" s="60"/>
    </row>
    <row r="12" ht="15.75" customHeight="1">
      <c r="A12" s="30" t="s">
        <v>144</v>
      </c>
      <c r="B12" s="33" t="s">
        <v>145</v>
      </c>
      <c r="C12" s="30" t="s">
        <v>48</v>
      </c>
      <c r="D12" s="30" t="s">
        <v>120</v>
      </c>
      <c r="E12" s="33" t="s">
        <v>72</v>
      </c>
      <c r="F12" s="89" t="s">
        <v>146</v>
      </c>
      <c r="G12" s="34" t="s">
        <v>147</v>
      </c>
      <c r="H12" s="104" t="s">
        <v>148</v>
      </c>
      <c r="I12" s="91" t="s">
        <v>83</v>
      </c>
      <c r="J12" s="38">
        <v>45809.0</v>
      </c>
      <c r="K12" s="38">
        <v>46174.0</v>
      </c>
      <c r="L12" s="47" t="str">
        <f t="shared" si="1"/>
        <v>EXPIRED</v>
      </c>
      <c r="M12" s="47"/>
      <c r="N12" s="49" t="s">
        <v>145</v>
      </c>
      <c r="O12" s="54" t="s">
        <v>152</v>
      </c>
      <c r="P12" s="49" t="s">
        <v>145</v>
      </c>
      <c r="Q12" s="57"/>
      <c r="R12" s="57"/>
      <c r="S12" s="57"/>
      <c r="T12" s="57"/>
      <c r="AM12" s="60"/>
      <c r="AN12" s="60"/>
      <c r="AO12" s="60"/>
      <c r="AP12" s="60"/>
      <c r="AQ12" s="60"/>
      <c r="AR12" s="60"/>
      <c r="AS12" s="60"/>
      <c r="AT12" s="60"/>
      <c r="AU12" s="60"/>
      <c r="AV12" s="60"/>
    </row>
    <row r="13" ht="15.75" customHeight="1">
      <c r="A13" s="61" t="s">
        <v>144</v>
      </c>
      <c r="B13" s="62" t="s">
        <v>154</v>
      </c>
      <c r="C13" s="61" t="s">
        <v>48</v>
      </c>
      <c r="D13" s="61" t="s">
        <v>120</v>
      </c>
      <c r="E13" s="62" t="s">
        <v>51</v>
      </c>
      <c r="F13" s="99" t="s">
        <v>155</v>
      </c>
      <c r="G13" s="63" t="s">
        <v>156</v>
      </c>
      <c r="H13" s="100" t="s">
        <v>157</v>
      </c>
      <c r="I13" s="86" t="s">
        <v>158</v>
      </c>
      <c r="J13" s="65">
        <v>45635.0</v>
      </c>
      <c r="K13" s="65">
        <v>46000.0</v>
      </c>
      <c r="L13" s="68" t="str">
        <f t="shared" si="1"/>
        <v>EXPIRED</v>
      </c>
      <c r="M13" s="68"/>
      <c r="N13" s="81" t="s">
        <v>154</v>
      </c>
      <c r="O13" s="81" t="s">
        <v>159</v>
      </c>
      <c r="P13" s="81" t="s">
        <v>154</v>
      </c>
      <c r="Q13" s="72"/>
      <c r="R13" s="72"/>
      <c r="S13" s="72"/>
      <c r="T13" s="72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ht="15.75" customHeight="1">
      <c r="A14" s="30" t="s">
        <v>144</v>
      </c>
      <c r="B14" s="33" t="s">
        <v>163</v>
      </c>
      <c r="C14" s="30" t="s">
        <v>104</v>
      </c>
      <c r="D14" s="30" t="s">
        <v>105</v>
      </c>
      <c r="E14" s="33" t="s">
        <v>72</v>
      </c>
      <c r="F14" s="89" t="s">
        <v>165</v>
      </c>
      <c r="G14" s="34" t="s">
        <v>166</v>
      </c>
      <c r="H14" s="90" t="s">
        <v>167</v>
      </c>
      <c r="I14" s="35" t="s">
        <v>158</v>
      </c>
      <c r="J14" s="38">
        <v>45600.0</v>
      </c>
      <c r="K14" s="38">
        <v>45781.0</v>
      </c>
      <c r="L14" s="47" t="str">
        <f t="shared" si="1"/>
        <v>INACTIVE</v>
      </c>
      <c r="M14" s="93" t="s">
        <v>168</v>
      </c>
      <c r="N14" s="49" t="s">
        <v>163</v>
      </c>
      <c r="O14" s="49" t="s">
        <v>169</v>
      </c>
      <c r="P14" s="110" t="s">
        <v>163</v>
      </c>
      <c r="Q14" s="57"/>
      <c r="R14" s="57"/>
      <c r="S14" s="57"/>
      <c r="T14" s="57"/>
      <c r="U14" s="51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ht="15.75" customHeight="1">
      <c r="A15" s="61" t="s">
        <v>144</v>
      </c>
      <c r="B15" s="62" t="s">
        <v>174</v>
      </c>
      <c r="C15" s="61" t="s">
        <v>48</v>
      </c>
      <c r="D15" s="61" t="s">
        <v>110</v>
      </c>
      <c r="E15" s="62" t="s">
        <v>72</v>
      </c>
      <c r="F15" s="62" t="s">
        <v>98</v>
      </c>
      <c r="G15" s="63" t="s">
        <v>55</v>
      </c>
      <c r="H15" s="85"/>
      <c r="I15" s="86" t="s">
        <v>83</v>
      </c>
      <c r="J15" s="80"/>
      <c r="K15" s="65"/>
      <c r="L15" s="68" t="str">
        <f t="shared" si="1"/>
        <v/>
      </c>
      <c r="M15" s="111"/>
      <c r="N15" s="81" t="s">
        <v>174</v>
      </c>
      <c r="O15" s="71" t="s">
        <v>177</v>
      </c>
      <c r="P15" s="81" t="s">
        <v>174</v>
      </c>
      <c r="Q15" s="72"/>
      <c r="R15" s="72"/>
      <c r="S15" s="72"/>
      <c r="T15" s="72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ht="15.75" customHeight="1">
      <c r="A16" s="30" t="s">
        <v>144</v>
      </c>
      <c r="B16" s="33" t="s">
        <v>178</v>
      </c>
      <c r="C16" s="30" t="s">
        <v>48</v>
      </c>
      <c r="D16" s="30" t="s">
        <v>179</v>
      </c>
      <c r="E16" s="33" t="s">
        <v>87</v>
      </c>
      <c r="F16" s="89" t="s">
        <v>180</v>
      </c>
      <c r="G16" s="34" t="s">
        <v>181</v>
      </c>
      <c r="H16" s="90" t="s">
        <v>182</v>
      </c>
      <c r="I16" s="113" t="s">
        <v>183</v>
      </c>
      <c r="J16" s="114"/>
      <c r="K16" s="40"/>
      <c r="L16" s="47" t="str">
        <f t="shared" si="1"/>
        <v/>
      </c>
      <c r="M16" s="47"/>
      <c r="N16" s="57"/>
      <c r="O16" s="57"/>
      <c r="P16" s="57"/>
      <c r="Q16" s="57"/>
      <c r="R16" s="57"/>
      <c r="S16" s="57"/>
      <c r="T16" s="57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ht="13.5" customHeight="1">
      <c r="A17" s="61" t="s">
        <v>144</v>
      </c>
      <c r="B17" s="62" t="s">
        <v>186</v>
      </c>
      <c r="C17" s="61" t="s">
        <v>48</v>
      </c>
      <c r="D17" s="61" t="s">
        <v>179</v>
      </c>
      <c r="E17" s="62" t="s">
        <v>87</v>
      </c>
      <c r="F17" s="99" t="s">
        <v>187</v>
      </c>
      <c r="G17" s="63" t="s">
        <v>188</v>
      </c>
      <c r="H17" s="100" t="s">
        <v>189</v>
      </c>
      <c r="I17" s="86" t="s">
        <v>83</v>
      </c>
      <c r="J17" s="65">
        <v>45474.0</v>
      </c>
      <c r="K17" s="101">
        <v>45839.0</v>
      </c>
      <c r="L17" s="68" t="str">
        <f t="shared" si="1"/>
        <v>EXPIRED</v>
      </c>
      <c r="M17" s="102" t="s">
        <v>190</v>
      </c>
      <c r="N17" s="81" t="s">
        <v>186</v>
      </c>
      <c r="O17" s="71" t="s">
        <v>191</v>
      </c>
      <c r="P17" s="81" t="s">
        <v>186</v>
      </c>
      <c r="Q17" s="72"/>
      <c r="R17" s="72"/>
      <c r="S17" s="72"/>
      <c r="T17" s="72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ht="15.75" customHeight="1">
      <c r="A18" s="30" t="s">
        <v>196</v>
      </c>
      <c r="B18" s="33" t="s">
        <v>197</v>
      </c>
      <c r="C18" s="30" t="s">
        <v>48</v>
      </c>
      <c r="D18" s="30" t="s">
        <v>50</v>
      </c>
      <c r="E18" s="33" t="s">
        <v>72</v>
      </c>
      <c r="F18" s="33" t="s">
        <v>199</v>
      </c>
      <c r="G18" s="34" t="s">
        <v>200</v>
      </c>
      <c r="H18" s="33"/>
      <c r="I18" s="35" t="s">
        <v>58</v>
      </c>
      <c r="J18" s="114"/>
      <c r="K18" s="38"/>
      <c r="L18" s="47" t="str">
        <f t="shared" si="1"/>
        <v/>
      </c>
      <c r="M18" s="47"/>
      <c r="N18" s="49" t="s">
        <v>197</v>
      </c>
      <c r="O18" s="54" t="s">
        <v>201</v>
      </c>
      <c r="P18" s="54" t="s">
        <v>197</v>
      </c>
      <c r="Q18" s="57"/>
      <c r="R18" s="57"/>
      <c r="S18" s="57"/>
      <c r="T18" s="57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ht="15.75" customHeight="1">
      <c r="A19" s="61" t="s">
        <v>196</v>
      </c>
      <c r="B19" s="62" t="s">
        <v>202</v>
      </c>
      <c r="C19" s="61" t="s">
        <v>48</v>
      </c>
      <c r="D19" s="61" t="s">
        <v>50</v>
      </c>
      <c r="E19" s="62" t="s">
        <v>72</v>
      </c>
      <c r="F19" s="62" t="s">
        <v>203</v>
      </c>
      <c r="G19" s="63" t="s">
        <v>204</v>
      </c>
      <c r="H19" s="62" t="s">
        <v>205</v>
      </c>
      <c r="I19" s="64" t="s">
        <v>58</v>
      </c>
      <c r="J19" s="65">
        <v>45698.0</v>
      </c>
      <c r="K19" s="66" t="s">
        <v>62</v>
      </c>
      <c r="L19" s="68" t="str">
        <f t="shared" si="1"/>
        <v>?</v>
      </c>
      <c r="M19" s="68"/>
      <c r="N19" s="81" t="s">
        <v>202</v>
      </c>
      <c r="O19" s="71" t="s">
        <v>209</v>
      </c>
      <c r="P19" s="61"/>
      <c r="Q19" s="72"/>
      <c r="R19" s="72"/>
      <c r="S19" s="72"/>
      <c r="T19" s="72"/>
      <c r="U19" s="51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ht="15.75" customHeight="1">
      <c r="A20" s="30" t="s">
        <v>196</v>
      </c>
      <c r="B20" s="33" t="s">
        <v>212</v>
      </c>
      <c r="C20" s="30" t="s">
        <v>48</v>
      </c>
      <c r="D20" s="30" t="s">
        <v>50</v>
      </c>
      <c r="E20" s="33" t="s">
        <v>72</v>
      </c>
      <c r="F20" s="33" t="s">
        <v>213</v>
      </c>
      <c r="G20" s="34" t="s">
        <v>214</v>
      </c>
      <c r="H20" s="33" t="s">
        <v>215</v>
      </c>
      <c r="I20" s="35" t="s">
        <v>58</v>
      </c>
      <c r="J20" s="38">
        <v>45184.0</v>
      </c>
      <c r="K20" s="40" t="s">
        <v>62</v>
      </c>
      <c r="L20" s="47" t="str">
        <f t="shared" si="1"/>
        <v>?</v>
      </c>
      <c r="M20" s="47"/>
      <c r="N20" s="49" t="s">
        <v>212</v>
      </c>
      <c r="O20" s="54" t="s">
        <v>217</v>
      </c>
      <c r="P20" s="110" t="s">
        <v>212</v>
      </c>
      <c r="Q20" s="57"/>
      <c r="R20" s="57"/>
      <c r="S20" s="57"/>
      <c r="T20" s="57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ht="15.75" customHeight="1">
      <c r="A21" s="61" t="s">
        <v>196</v>
      </c>
      <c r="B21" s="62" t="s">
        <v>222</v>
      </c>
      <c r="C21" s="61" t="s">
        <v>48</v>
      </c>
      <c r="D21" s="61" t="s">
        <v>50</v>
      </c>
      <c r="E21" s="62" t="s">
        <v>72</v>
      </c>
      <c r="F21" s="62" t="s">
        <v>223</v>
      </c>
      <c r="G21" s="63" t="s">
        <v>224</v>
      </c>
      <c r="H21" s="62"/>
      <c r="I21" s="64" t="s">
        <v>58</v>
      </c>
      <c r="J21" s="65">
        <v>45294.0</v>
      </c>
      <c r="K21" s="66" t="s">
        <v>62</v>
      </c>
      <c r="L21" s="68" t="str">
        <f t="shared" si="1"/>
        <v>?</v>
      </c>
      <c r="M21" s="68"/>
      <c r="N21" s="81" t="s">
        <v>222</v>
      </c>
      <c r="O21" s="71" t="s">
        <v>230</v>
      </c>
      <c r="P21" s="81" t="s">
        <v>222</v>
      </c>
      <c r="Q21" s="72"/>
      <c r="R21" s="72"/>
      <c r="S21" s="72"/>
      <c r="T21" s="72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ht="15.75" customHeight="1">
      <c r="A22" s="30" t="s">
        <v>196</v>
      </c>
      <c r="B22" s="33" t="s">
        <v>233</v>
      </c>
      <c r="C22" s="30" t="s">
        <v>48</v>
      </c>
      <c r="D22" s="30" t="s">
        <v>50</v>
      </c>
      <c r="E22" s="33" t="s">
        <v>72</v>
      </c>
      <c r="F22" s="33" t="s">
        <v>234</v>
      </c>
      <c r="G22" s="34" t="s">
        <v>235</v>
      </c>
      <c r="H22" s="33"/>
      <c r="I22" s="35" t="s">
        <v>58</v>
      </c>
      <c r="J22" s="38">
        <v>45294.0</v>
      </c>
      <c r="K22" s="40" t="s">
        <v>62</v>
      </c>
      <c r="L22" s="47" t="str">
        <f t="shared" si="1"/>
        <v>?</v>
      </c>
      <c r="M22" s="47"/>
      <c r="N22" s="49" t="s">
        <v>233</v>
      </c>
      <c r="O22" s="54" t="s">
        <v>239</v>
      </c>
      <c r="P22" s="30"/>
      <c r="Q22" s="57"/>
      <c r="R22" s="57"/>
      <c r="S22" s="57"/>
      <c r="T22" s="57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ht="15.75" hidden="1" customHeight="1">
      <c r="A23" s="61" t="s">
        <v>196</v>
      </c>
      <c r="B23" s="62" t="s">
        <v>242</v>
      </c>
      <c r="C23" s="61" t="s">
        <v>48</v>
      </c>
      <c r="D23" s="61" t="s">
        <v>50</v>
      </c>
      <c r="E23" s="62" t="s">
        <v>72</v>
      </c>
      <c r="F23" s="62" t="s">
        <v>245</v>
      </c>
      <c r="G23" s="63"/>
      <c r="H23" s="62"/>
      <c r="I23" s="64" t="s">
        <v>58</v>
      </c>
      <c r="J23" s="65">
        <v>45022.0</v>
      </c>
      <c r="K23" s="66" t="s">
        <v>62</v>
      </c>
      <c r="L23" s="68" t="str">
        <f t="shared" si="1"/>
        <v>?</v>
      </c>
      <c r="M23" s="68"/>
      <c r="N23" s="81" t="s">
        <v>242</v>
      </c>
      <c r="O23" s="71" t="s">
        <v>248</v>
      </c>
      <c r="P23" s="142" t="s">
        <v>242</v>
      </c>
      <c r="Q23" s="72"/>
      <c r="R23" s="72"/>
      <c r="S23" s="72"/>
      <c r="T23" s="72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ht="15.75" hidden="1" customHeight="1">
      <c r="A24" s="30" t="s">
        <v>196</v>
      </c>
      <c r="B24" s="33" t="s">
        <v>250</v>
      </c>
      <c r="C24" s="30" t="s">
        <v>48</v>
      </c>
      <c r="D24" s="30" t="s">
        <v>50</v>
      </c>
      <c r="E24" s="33" t="s">
        <v>72</v>
      </c>
      <c r="F24" s="33" t="s">
        <v>251</v>
      </c>
      <c r="G24" s="34"/>
      <c r="H24" s="33"/>
      <c r="I24" s="35" t="s">
        <v>58</v>
      </c>
      <c r="J24" s="38">
        <v>45143.0</v>
      </c>
      <c r="K24" s="38"/>
      <c r="L24" s="47" t="str">
        <f t="shared" si="1"/>
        <v/>
      </c>
      <c r="M24" s="98"/>
      <c r="N24" s="49" t="s">
        <v>250</v>
      </c>
      <c r="O24" s="54" t="s">
        <v>253</v>
      </c>
      <c r="P24" s="110" t="s">
        <v>250</v>
      </c>
      <c r="Q24" s="57"/>
      <c r="R24" s="57"/>
      <c r="S24" s="57"/>
      <c r="T24" s="57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ht="15.75" hidden="1" customHeight="1">
      <c r="A25" s="61" t="s">
        <v>196</v>
      </c>
      <c r="B25" s="62" t="s">
        <v>256</v>
      </c>
      <c r="C25" s="61" t="s">
        <v>48</v>
      </c>
      <c r="D25" s="61" t="s">
        <v>50</v>
      </c>
      <c r="E25" s="62" t="s">
        <v>72</v>
      </c>
      <c r="F25" s="62" t="s">
        <v>257</v>
      </c>
      <c r="G25" s="63"/>
      <c r="H25" s="62"/>
      <c r="I25" s="64" t="s">
        <v>58</v>
      </c>
      <c r="J25" s="65">
        <v>45184.0</v>
      </c>
      <c r="K25" s="66" t="s">
        <v>62</v>
      </c>
      <c r="L25" s="68" t="str">
        <f t="shared" si="1"/>
        <v>?</v>
      </c>
      <c r="M25" s="111"/>
      <c r="N25" s="81" t="s">
        <v>256</v>
      </c>
      <c r="O25" s="71" t="s">
        <v>259</v>
      </c>
      <c r="P25" s="81" t="s">
        <v>256</v>
      </c>
      <c r="Q25" s="72"/>
      <c r="R25" s="72"/>
      <c r="S25" s="72"/>
      <c r="T25" s="72"/>
      <c r="AM25" s="60"/>
      <c r="AN25" s="60"/>
      <c r="AO25" s="60"/>
      <c r="AP25" s="60"/>
      <c r="AQ25" s="60"/>
      <c r="AR25" s="60"/>
      <c r="AS25" s="60"/>
      <c r="AT25" s="60"/>
      <c r="AU25" s="60"/>
      <c r="AV25" s="60"/>
    </row>
    <row r="26" hidden="1">
      <c r="A26" s="30" t="s">
        <v>196</v>
      </c>
      <c r="B26" s="33" t="s">
        <v>261</v>
      </c>
      <c r="C26" s="30" t="s">
        <v>48</v>
      </c>
      <c r="D26" s="30" t="s">
        <v>50</v>
      </c>
      <c r="E26" s="33" t="s">
        <v>72</v>
      </c>
      <c r="F26" s="33" t="s">
        <v>262</v>
      </c>
      <c r="G26" s="34"/>
      <c r="H26" s="33"/>
      <c r="I26" s="35" t="s">
        <v>58</v>
      </c>
      <c r="J26" s="114">
        <v>45107.0</v>
      </c>
      <c r="K26" s="38">
        <v>46203.0</v>
      </c>
      <c r="L26" s="47" t="str">
        <f t="shared" si="1"/>
        <v>EXPIRED</v>
      </c>
      <c r="M26" s="47"/>
      <c r="N26" s="49" t="s">
        <v>261</v>
      </c>
      <c r="O26" s="54" t="s">
        <v>266</v>
      </c>
      <c r="P26" s="57"/>
      <c r="Q26" s="57"/>
      <c r="R26" s="57"/>
      <c r="S26" s="57"/>
      <c r="T26" s="57"/>
      <c r="AM26" s="60"/>
      <c r="AN26" s="60"/>
      <c r="AO26" s="60"/>
      <c r="AP26" s="60"/>
      <c r="AQ26" s="60"/>
      <c r="AR26" s="60"/>
      <c r="AS26" s="60"/>
      <c r="AT26" s="60"/>
      <c r="AU26" s="60"/>
      <c r="AV26" s="60"/>
    </row>
    <row r="27">
      <c r="A27" s="61" t="s">
        <v>196</v>
      </c>
      <c r="B27" s="62" t="s">
        <v>269</v>
      </c>
      <c r="C27" s="61" t="s">
        <v>48</v>
      </c>
      <c r="D27" s="61" t="s">
        <v>50</v>
      </c>
      <c r="E27" s="62" t="s">
        <v>72</v>
      </c>
      <c r="F27" s="62" t="s">
        <v>270</v>
      </c>
      <c r="G27" s="63" t="s">
        <v>271</v>
      </c>
      <c r="H27" s="62"/>
      <c r="I27" s="64" t="s">
        <v>58</v>
      </c>
      <c r="J27" s="65">
        <v>45294.0</v>
      </c>
      <c r="K27" s="66" t="s">
        <v>62</v>
      </c>
      <c r="L27" s="68" t="str">
        <f t="shared" si="1"/>
        <v>?</v>
      </c>
      <c r="M27" s="68"/>
      <c r="N27" s="81" t="s">
        <v>269</v>
      </c>
      <c r="O27" s="71" t="s">
        <v>273</v>
      </c>
      <c r="P27" s="81" t="s">
        <v>269</v>
      </c>
      <c r="Q27" s="72"/>
      <c r="R27" s="72"/>
      <c r="S27" s="72"/>
      <c r="T27" s="72"/>
      <c r="AM27" s="60"/>
      <c r="AN27" s="60"/>
      <c r="AO27" s="60"/>
      <c r="AP27" s="60"/>
      <c r="AQ27" s="60"/>
      <c r="AR27" s="60"/>
      <c r="AS27" s="60"/>
      <c r="AT27" s="60"/>
      <c r="AU27" s="60"/>
      <c r="AV27" s="60"/>
    </row>
    <row r="28" ht="15.75" customHeight="1">
      <c r="A28" s="30" t="s">
        <v>196</v>
      </c>
      <c r="B28" s="33" t="s">
        <v>274</v>
      </c>
      <c r="C28" s="30" t="s">
        <v>104</v>
      </c>
      <c r="D28" s="30" t="s">
        <v>105</v>
      </c>
      <c r="E28" s="33" t="s">
        <v>72</v>
      </c>
      <c r="F28" s="33" t="s">
        <v>275</v>
      </c>
      <c r="G28" s="34" t="s">
        <v>276</v>
      </c>
      <c r="H28" s="90"/>
      <c r="I28" s="35" t="s">
        <v>83</v>
      </c>
      <c r="J28" s="114"/>
      <c r="K28" s="38"/>
      <c r="L28" s="47" t="str">
        <f t="shared" si="1"/>
        <v>INACTIVE</v>
      </c>
      <c r="M28" s="47"/>
      <c r="N28" s="49" t="s">
        <v>274</v>
      </c>
      <c r="O28" s="54" t="s">
        <v>277</v>
      </c>
      <c r="P28" s="110" t="s">
        <v>274</v>
      </c>
      <c r="Q28" s="57"/>
      <c r="R28" s="57"/>
      <c r="S28" s="57"/>
      <c r="T28" s="57"/>
      <c r="AM28" s="60"/>
      <c r="AN28" s="60"/>
      <c r="AO28" s="60"/>
      <c r="AP28" s="60"/>
      <c r="AQ28" s="60"/>
      <c r="AR28" s="60"/>
      <c r="AS28" s="60"/>
      <c r="AT28" s="60"/>
      <c r="AU28" s="60"/>
      <c r="AV28" s="60"/>
    </row>
    <row r="29" ht="15.75" customHeight="1">
      <c r="A29" s="61" t="s">
        <v>196</v>
      </c>
      <c r="B29" s="62" t="s">
        <v>282</v>
      </c>
      <c r="C29" s="61" t="s">
        <v>48</v>
      </c>
      <c r="D29" s="61" t="s">
        <v>110</v>
      </c>
      <c r="E29" s="62" t="s">
        <v>72</v>
      </c>
      <c r="F29" s="62" t="s">
        <v>283</v>
      </c>
      <c r="G29" s="63" t="s">
        <v>284</v>
      </c>
      <c r="H29" s="85"/>
      <c r="I29" s="86" t="s">
        <v>183</v>
      </c>
      <c r="J29" s="65">
        <v>45729.0</v>
      </c>
      <c r="K29" s="65">
        <v>45821.0</v>
      </c>
      <c r="L29" s="68" t="str">
        <f t="shared" si="1"/>
        <v>EXPIRED</v>
      </c>
      <c r="M29" s="68"/>
      <c r="N29" s="81" t="s">
        <v>282</v>
      </c>
      <c r="O29" s="71" t="s">
        <v>287</v>
      </c>
      <c r="P29" s="142" t="s">
        <v>282</v>
      </c>
      <c r="Q29" s="72"/>
      <c r="R29" s="72"/>
      <c r="S29" s="72"/>
      <c r="T29" s="72"/>
      <c r="AM29" s="60"/>
      <c r="AN29" s="60"/>
      <c r="AO29" s="60"/>
      <c r="AP29" s="60"/>
      <c r="AQ29" s="60"/>
      <c r="AR29" s="60"/>
      <c r="AS29" s="60"/>
      <c r="AT29" s="60"/>
      <c r="AU29" s="60"/>
      <c r="AV29" s="60"/>
    </row>
    <row r="30" ht="15.75" hidden="1" customHeight="1">
      <c r="A30" s="30" t="s">
        <v>196</v>
      </c>
      <c r="B30" s="33" t="s">
        <v>291</v>
      </c>
      <c r="C30" s="30" t="s">
        <v>48</v>
      </c>
      <c r="D30" s="30" t="s">
        <v>179</v>
      </c>
      <c r="E30" s="33" t="s">
        <v>72</v>
      </c>
      <c r="F30" s="89" t="s">
        <v>292</v>
      </c>
      <c r="G30" s="34"/>
      <c r="H30" s="33" t="s">
        <v>293</v>
      </c>
      <c r="I30" s="35" t="s">
        <v>183</v>
      </c>
      <c r="J30" s="38">
        <v>45769.0</v>
      </c>
      <c r="K30" s="92">
        <v>45961.0</v>
      </c>
      <c r="L30" s="47" t="str">
        <f t="shared" si="1"/>
        <v>EXPIRED</v>
      </c>
      <c r="M30" s="47"/>
      <c r="N30" s="180"/>
      <c r="O30" s="57"/>
      <c r="P30" s="35"/>
      <c r="Q30" s="57"/>
      <c r="R30" s="57"/>
      <c r="S30" s="57"/>
      <c r="T30" s="57"/>
      <c r="AM30" s="60"/>
      <c r="AN30" s="60"/>
      <c r="AO30" s="60"/>
      <c r="AP30" s="60"/>
      <c r="AQ30" s="60"/>
      <c r="AR30" s="60"/>
      <c r="AS30" s="60"/>
      <c r="AT30" s="60"/>
      <c r="AU30" s="60"/>
      <c r="AV30" s="60"/>
    </row>
    <row r="31" ht="15.75" customHeight="1">
      <c r="A31" s="61" t="s">
        <v>295</v>
      </c>
      <c r="B31" s="62" t="s">
        <v>296</v>
      </c>
      <c r="C31" s="61" t="s">
        <v>48</v>
      </c>
      <c r="D31" s="61" t="s">
        <v>50</v>
      </c>
      <c r="E31" s="62" t="s">
        <v>72</v>
      </c>
      <c r="F31" s="62" t="s">
        <v>297</v>
      </c>
      <c r="G31" s="63" t="s">
        <v>298</v>
      </c>
      <c r="H31" s="62"/>
      <c r="I31" s="64" t="s">
        <v>58</v>
      </c>
      <c r="J31" s="65">
        <v>45294.0</v>
      </c>
      <c r="K31" s="66" t="s">
        <v>62</v>
      </c>
      <c r="L31" s="68" t="str">
        <f t="shared" si="1"/>
        <v>?</v>
      </c>
      <c r="M31" s="68"/>
      <c r="N31" s="81" t="s">
        <v>296</v>
      </c>
      <c r="O31" s="71" t="s">
        <v>303</v>
      </c>
      <c r="P31" s="72"/>
      <c r="Q31" s="72"/>
      <c r="R31" s="72"/>
      <c r="S31" s="72"/>
      <c r="T31" s="72"/>
      <c r="U31" s="51"/>
      <c r="AM31" s="60"/>
      <c r="AN31" s="60"/>
      <c r="AO31" s="60"/>
      <c r="AP31" s="60"/>
      <c r="AQ31" s="60"/>
      <c r="AR31" s="60"/>
      <c r="AS31" s="60"/>
      <c r="AT31" s="60"/>
      <c r="AU31" s="60"/>
      <c r="AV31" s="60"/>
    </row>
    <row r="32" ht="15.75" hidden="1" customHeight="1">
      <c r="A32" s="30" t="s">
        <v>196</v>
      </c>
      <c r="B32" s="33" t="s">
        <v>291</v>
      </c>
      <c r="C32" s="30"/>
      <c r="D32" s="30"/>
      <c r="E32" s="33"/>
      <c r="F32" s="33"/>
      <c r="G32" s="34"/>
      <c r="H32" s="33"/>
      <c r="I32" s="35"/>
      <c r="J32" s="38"/>
      <c r="K32" s="40"/>
      <c r="L32" s="47"/>
      <c r="M32" s="47"/>
      <c r="N32" s="180"/>
      <c r="O32" s="57"/>
      <c r="P32" s="180"/>
      <c r="Q32" s="57"/>
      <c r="R32" s="57"/>
      <c r="S32" s="57"/>
      <c r="T32" s="57"/>
      <c r="U32" s="51"/>
      <c r="AM32" s="60"/>
      <c r="AN32" s="60"/>
      <c r="AO32" s="60"/>
      <c r="AP32" s="60"/>
      <c r="AQ32" s="60"/>
      <c r="AR32" s="60"/>
      <c r="AS32" s="60"/>
      <c r="AT32" s="60"/>
      <c r="AU32" s="60"/>
      <c r="AV32" s="60"/>
    </row>
    <row r="33" ht="15.75" customHeight="1">
      <c r="A33" s="61" t="s">
        <v>295</v>
      </c>
      <c r="B33" s="62" t="s">
        <v>308</v>
      </c>
      <c r="C33" s="61" t="s">
        <v>104</v>
      </c>
      <c r="D33" s="61" t="s">
        <v>105</v>
      </c>
      <c r="E33" s="62" t="s">
        <v>72</v>
      </c>
      <c r="F33" s="62" t="s">
        <v>309</v>
      </c>
      <c r="G33" s="63" t="s">
        <v>310</v>
      </c>
      <c r="H33" s="62"/>
      <c r="I33" s="64" t="s">
        <v>58</v>
      </c>
      <c r="J33" s="65">
        <v>45070.0</v>
      </c>
      <c r="K33" s="66" t="s">
        <v>62</v>
      </c>
      <c r="L33" s="68" t="str">
        <f t="shared" ref="L33:L140" si="2">ifs(C33="INACTIVE","INACTIVE",C33="IN PROGRESS","IN PROGRESS",K33="","",K33="MISSING","?",K33-TODAY()&gt;0,K33-TODAY(),K33-TODAY()&lt;0,"EXPIRED")</f>
        <v>INACTIVE</v>
      </c>
      <c r="M33" s="68"/>
      <c r="N33" s="71" t="s">
        <v>308</v>
      </c>
      <c r="O33" s="71" t="s">
        <v>312</v>
      </c>
      <c r="P33" s="72"/>
      <c r="Q33" s="72"/>
      <c r="R33" s="72"/>
      <c r="S33" s="72"/>
      <c r="T33" s="72"/>
      <c r="AM33" s="60"/>
      <c r="AN33" s="60"/>
      <c r="AO33" s="60"/>
      <c r="AP33" s="60"/>
      <c r="AQ33" s="60"/>
      <c r="AR33" s="60"/>
      <c r="AS33" s="60"/>
      <c r="AT33" s="60"/>
      <c r="AU33" s="60"/>
      <c r="AV33" s="60"/>
    </row>
    <row r="34" ht="15.75" customHeight="1">
      <c r="A34" s="30" t="s">
        <v>295</v>
      </c>
      <c r="B34" s="33" t="s">
        <v>315</v>
      </c>
      <c r="C34" s="30" t="s">
        <v>48</v>
      </c>
      <c r="D34" s="30" t="s">
        <v>110</v>
      </c>
      <c r="E34" s="33" t="s">
        <v>72</v>
      </c>
      <c r="F34" s="33" t="s">
        <v>316</v>
      </c>
      <c r="G34" s="34" t="s">
        <v>317</v>
      </c>
      <c r="H34" s="90"/>
      <c r="I34" s="91" t="s">
        <v>158</v>
      </c>
      <c r="J34" s="38">
        <v>45611.0</v>
      </c>
      <c r="K34" s="40" t="s">
        <v>62</v>
      </c>
      <c r="L34" s="47" t="str">
        <f t="shared" si="2"/>
        <v>?</v>
      </c>
      <c r="M34" s="47"/>
      <c r="N34" s="49" t="s">
        <v>315</v>
      </c>
      <c r="O34" s="49" t="s">
        <v>318</v>
      </c>
      <c r="P34" s="49" t="s">
        <v>315</v>
      </c>
      <c r="Q34" s="57"/>
      <c r="R34" s="57"/>
      <c r="S34" s="57"/>
      <c r="T34" s="57"/>
      <c r="AM34" s="60"/>
      <c r="AN34" s="60"/>
      <c r="AO34" s="60"/>
      <c r="AP34" s="60"/>
      <c r="AQ34" s="60"/>
      <c r="AR34" s="60"/>
      <c r="AS34" s="60"/>
      <c r="AT34" s="60"/>
      <c r="AU34" s="60"/>
      <c r="AV34" s="60"/>
    </row>
    <row r="35" ht="15.75" customHeight="1">
      <c r="A35" s="61" t="s">
        <v>295</v>
      </c>
      <c r="B35" s="62" t="s">
        <v>320</v>
      </c>
      <c r="C35" s="61" t="s">
        <v>48</v>
      </c>
      <c r="D35" s="61" t="s">
        <v>179</v>
      </c>
      <c r="E35" s="62" t="s">
        <v>72</v>
      </c>
      <c r="F35" s="99" t="s">
        <v>323</v>
      </c>
      <c r="G35" s="63" t="s">
        <v>324</v>
      </c>
      <c r="H35" s="190" t="s">
        <v>325</v>
      </c>
      <c r="I35" s="86" t="s">
        <v>83</v>
      </c>
      <c r="J35" s="65">
        <v>45506.0</v>
      </c>
      <c r="K35" s="65">
        <v>45871.0</v>
      </c>
      <c r="L35" s="68" t="str">
        <f t="shared" si="2"/>
        <v>EXPIRED</v>
      </c>
      <c r="M35" s="68"/>
      <c r="N35" s="81" t="s">
        <v>320</v>
      </c>
      <c r="O35" s="71" t="s">
        <v>326</v>
      </c>
      <c r="P35" s="81" t="s">
        <v>320</v>
      </c>
      <c r="Q35" s="72"/>
      <c r="R35" s="72"/>
      <c r="S35" s="72"/>
      <c r="T35" s="72"/>
      <c r="AM35" s="60"/>
      <c r="AN35" s="60"/>
      <c r="AO35" s="60"/>
      <c r="AP35" s="60"/>
      <c r="AQ35" s="60"/>
      <c r="AR35" s="60"/>
      <c r="AS35" s="60"/>
      <c r="AT35" s="60"/>
      <c r="AU35" s="60"/>
      <c r="AV35" s="60"/>
    </row>
    <row r="36" ht="15.75" customHeight="1">
      <c r="A36" s="30" t="s">
        <v>295</v>
      </c>
      <c r="B36" s="33" t="s">
        <v>328</v>
      </c>
      <c r="C36" s="30" t="s">
        <v>48</v>
      </c>
      <c r="D36" s="30" t="s">
        <v>179</v>
      </c>
      <c r="E36" s="33" t="s">
        <v>72</v>
      </c>
      <c r="F36" s="89" t="s">
        <v>323</v>
      </c>
      <c r="G36" s="34" t="s">
        <v>324</v>
      </c>
      <c r="H36" s="191" t="s">
        <v>325</v>
      </c>
      <c r="I36" s="91" t="s">
        <v>83</v>
      </c>
      <c r="J36" s="38">
        <v>45506.0</v>
      </c>
      <c r="K36" s="38">
        <v>45871.0</v>
      </c>
      <c r="L36" s="47" t="str">
        <f t="shared" si="2"/>
        <v>EXPIRED</v>
      </c>
      <c r="M36" s="47"/>
      <c r="N36" s="49" t="s">
        <v>328</v>
      </c>
      <c r="O36" s="54" t="s">
        <v>329</v>
      </c>
      <c r="P36" s="49" t="s">
        <v>328</v>
      </c>
      <c r="Q36" s="57"/>
      <c r="R36" s="57"/>
      <c r="S36" s="57"/>
      <c r="T36" s="57"/>
      <c r="AM36" s="60"/>
      <c r="AN36" s="60"/>
      <c r="AO36" s="60"/>
      <c r="AP36" s="60"/>
      <c r="AQ36" s="60"/>
      <c r="AR36" s="60"/>
      <c r="AS36" s="60"/>
      <c r="AT36" s="60"/>
      <c r="AU36" s="60"/>
      <c r="AV36" s="60"/>
    </row>
    <row r="37" ht="15.75" customHeight="1">
      <c r="A37" s="61" t="s">
        <v>295</v>
      </c>
      <c r="B37" s="62" t="s">
        <v>332</v>
      </c>
      <c r="C37" s="61" t="s">
        <v>48</v>
      </c>
      <c r="D37" s="61" t="s">
        <v>179</v>
      </c>
      <c r="E37" s="62" t="s">
        <v>72</v>
      </c>
      <c r="F37" s="99" t="s">
        <v>333</v>
      </c>
      <c r="G37" s="193" t="s">
        <v>334</v>
      </c>
      <c r="H37" s="85" t="s">
        <v>335</v>
      </c>
      <c r="I37" s="86" t="s">
        <v>183</v>
      </c>
      <c r="J37" s="65">
        <v>45769.0</v>
      </c>
      <c r="K37" s="101">
        <v>45869.0</v>
      </c>
      <c r="L37" s="68" t="str">
        <f t="shared" si="2"/>
        <v>EXPIRED</v>
      </c>
      <c r="M37" s="68"/>
      <c r="N37" s="81" t="s">
        <v>332</v>
      </c>
      <c r="O37" s="81" t="s">
        <v>337</v>
      </c>
      <c r="P37" s="81" t="s">
        <v>332</v>
      </c>
      <c r="Q37" s="72"/>
      <c r="R37" s="72"/>
      <c r="S37" s="72"/>
      <c r="T37" s="72"/>
      <c r="AM37" s="60"/>
      <c r="AN37" s="60"/>
      <c r="AO37" s="60"/>
      <c r="AP37" s="60"/>
      <c r="AQ37" s="60"/>
      <c r="AR37" s="60"/>
      <c r="AS37" s="60"/>
      <c r="AT37" s="60"/>
      <c r="AU37" s="60"/>
      <c r="AV37" s="60"/>
    </row>
    <row r="38" ht="15.75" customHeight="1">
      <c r="A38" s="30" t="s">
        <v>295</v>
      </c>
      <c r="B38" s="33" t="s">
        <v>338</v>
      </c>
      <c r="C38" s="30" t="s">
        <v>48</v>
      </c>
      <c r="D38" s="30" t="s">
        <v>179</v>
      </c>
      <c r="E38" s="33" t="s">
        <v>72</v>
      </c>
      <c r="F38" s="194" t="s">
        <v>339</v>
      </c>
      <c r="G38" s="34" t="s">
        <v>340</v>
      </c>
      <c r="H38" s="191" t="s">
        <v>341</v>
      </c>
      <c r="I38" s="91" t="s">
        <v>83</v>
      </c>
      <c r="J38" s="38">
        <v>45811.0</v>
      </c>
      <c r="K38" s="38">
        <v>46176.0</v>
      </c>
      <c r="L38" s="47" t="str">
        <f t="shared" si="2"/>
        <v>EXPIRED</v>
      </c>
      <c r="M38" s="47"/>
      <c r="N38" s="49" t="s">
        <v>338</v>
      </c>
      <c r="O38" s="54" t="s">
        <v>345</v>
      </c>
      <c r="P38" s="49" t="s">
        <v>338</v>
      </c>
      <c r="Q38" s="57"/>
      <c r="R38" s="57"/>
      <c r="S38" s="57"/>
      <c r="T38" s="57"/>
      <c r="AM38" s="60"/>
      <c r="AN38" s="60"/>
      <c r="AO38" s="60"/>
      <c r="AP38" s="60"/>
      <c r="AQ38" s="60"/>
      <c r="AR38" s="60"/>
      <c r="AS38" s="60"/>
      <c r="AT38" s="60"/>
      <c r="AU38" s="60"/>
      <c r="AV38" s="60"/>
    </row>
    <row r="39" ht="15.75" customHeight="1">
      <c r="A39" s="61" t="s">
        <v>295</v>
      </c>
      <c r="B39" s="62" t="s">
        <v>349</v>
      </c>
      <c r="C39" s="61" t="s">
        <v>48</v>
      </c>
      <c r="D39" s="61" t="s">
        <v>179</v>
      </c>
      <c r="E39" s="62" t="s">
        <v>72</v>
      </c>
      <c r="F39" s="195" t="s">
        <v>339</v>
      </c>
      <c r="G39" s="63" t="s">
        <v>340</v>
      </c>
      <c r="H39" s="100" t="s">
        <v>341</v>
      </c>
      <c r="I39" s="86" t="s">
        <v>83</v>
      </c>
      <c r="J39" s="65">
        <v>45811.0</v>
      </c>
      <c r="K39" s="65">
        <v>46176.0</v>
      </c>
      <c r="L39" s="68" t="str">
        <f t="shared" si="2"/>
        <v>EXPIRED</v>
      </c>
      <c r="M39" s="68"/>
      <c r="N39" s="81" t="s">
        <v>349</v>
      </c>
      <c r="O39" s="71" t="s">
        <v>350</v>
      </c>
      <c r="P39" s="81" t="s">
        <v>349</v>
      </c>
      <c r="Q39" s="72"/>
      <c r="R39" s="72"/>
      <c r="S39" s="72"/>
      <c r="T39" s="72"/>
      <c r="AM39" s="60"/>
      <c r="AN39" s="60"/>
      <c r="AO39" s="60"/>
      <c r="AP39" s="60"/>
      <c r="AQ39" s="60"/>
      <c r="AR39" s="60"/>
      <c r="AS39" s="60"/>
      <c r="AT39" s="60"/>
      <c r="AU39" s="60"/>
      <c r="AV39" s="60"/>
    </row>
    <row r="40" ht="15.75" customHeight="1">
      <c r="A40" s="30" t="s">
        <v>295</v>
      </c>
      <c r="B40" s="33" t="s">
        <v>352</v>
      </c>
      <c r="C40" s="30" t="s">
        <v>48</v>
      </c>
      <c r="D40" s="30" t="s">
        <v>179</v>
      </c>
      <c r="E40" s="33" t="s">
        <v>72</v>
      </c>
      <c r="F40" s="194" t="s">
        <v>339</v>
      </c>
      <c r="G40" s="34" t="s">
        <v>340</v>
      </c>
      <c r="H40" s="191" t="s">
        <v>341</v>
      </c>
      <c r="I40" s="91" t="s">
        <v>83</v>
      </c>
      <c r="J40" s="38">
        <v>45811.0</v>
      </c>
      <c r="K40" s="92">
        <v>46176.0</v>
      </c>
      <c r="L40" s="47" t="str">
        <f t="shared" si="2"/>
        <v>EXPIRED</v>
      </c>
      <c r="M40" s="196" t="s">
        <v>355</v>
      </c>
      <c r="N40" s="49" t="s">
        <v>352</v>
      </c>
      <c r="O40" s="54" t="s">
        <v>357</v>
      </c>
      <c r="P40" s="49" t="s">
        <v>352</v>
      </c>
      <c r="Q40" s="57"/>
      <c r="R40" s="57"/>
      <c r="S40" s="57"/>
      <c r="T40" s="57"/>
      <c r="AM40" s="60"/>
      <c r="AN40" s="60"/>
      <c r="AO40" s="60"/>
      <c r="AP40" s="60"/>
      <c r="AQ40" s="60"/>
      <c r="AR40" s="60"/>
      <c r="AS40" s="60"/>
      <c r="AT40" s="60"/>
      <c r="AU40" s="60"/>
      <c r="AV40" s="60"/>
    </row>
    <row r="41" ht="15.75" customHeight="1">
      <c r="A41" s="61" t="s">
        <v>358</v>
      </c>
      <c r="B41" s="62" t="s">
        <v>359</v>
      </c>
      <c r="C41" s="61" t="s">
        <v>48</v>
      </c>
      <c r="D41" s="61" t="s">
        <v>120</v>
      </c>
      <c r="E41" s="62" t="s">
        <v>72</v>
      </c>
      <c r="F41" s="99" t="s">
        <v>360</v>
      </c>
      <c r="G41" s="36" t="s">
        <v>361</v>
      </c>
      <c r="H41" s="85"/>
      <c r="I41" s="86" t="s">
        <v>183</v>
      </c>
      <c r="J41" s="65">
        <v>45809.0</v>
      </c>
      <c r="K41" s="101">
        <v>46174.0</v>
      </c>
      <c r="L41" s="68" t="str">
        <f t="shared" si="2"/>
        <v>EXPIRED</v>
      </c>
      <c r="M41" s="197" t="s">
        <v>362</v>
      </c>
      <c r="N41" s="198"/>
      <c r="O41" s="198"/>
      <c r="P41" s="198"/>
      <c r="Q41" s="72"/>
      <c r="R41" s="72"/>
      <c r="S41" s="72"/>
      <c r="T41" s="72"/>
      <c r="AM41" s="60"/>
      <c r="AN41" s="60"/>
      <c r="AO41" s="60"/>
      <c r="AP41" s="60"/>
      <c r="AQ41" s="60"/>
      <c r="AR41" s="60"/>
      <c r="AS41" s="60"/>
      <c r="AT41" s="60"/>
      <c r="AU41" s="60"/>
      <c r="AV41" s="60"/>
    </row>
    <row r="42" ht="15.75" customHeight="1">
      <c r="A42" s="30" t="s">
        <v>368</v>
      </c>
      <c r="B42" s="33" t="s">
        <v>369</v>
      </c>
      <c r="C42" s="30" t="s">
        <v>48</v>
      </c>
      <c r="D42" s="30" t="s">
        <v>110</v>
      </c>
      <c r="E42" s="33" t="s">
        <v>72</v>
      </c>
      <c r="F42" s="199" t="s">
        <v>371</v>
      </c>
      <c r="G42" s="34" t="s">
        <v>372</v>
      </c>
      <c r="H42" s="33"/>
      <c r="I42" s="91" t="s">
        <v>83</v>
      </c>
      <c r="J42" s="38">
        <v>45748.0</v>
      </c>
      <c r="K42" s="38">
        <v>45930.0</v>
      </c>
      <c r="L42" s="47" t="str">
        <f t="shared" si="2"/>
        <v>EXPIRED</v>
      </c>
      <c r="M42" s="47"/>
      <c r="N42" s="49" t="s">
        <v>369</v>
      </c>
      <c r="O42" s="49" t="s">
        <v>375</v>
      </c>
      <c r="P42" s="49" t="s">
        <v>369</v>
      </c>
      <c r="Q42" s="57"/>
      <c r="R42" s="57"/>
      <c r="S42" s="57"/>
      <c r="T42" s="57"/>
      <c r="AM42" s="60"/>
      <c r="AN42" s="60"/>
      <c r="AO42" s="60"/>
      <c r="AP42" s="60"/>
      <c r="AQ42" s="60"/>
      <c r="AR42" s="60"/>
      <c r="AS42" s="60"/>
      <c r="AT42" s="60"/>
      <c r="AU42" s="60"/>
      <c r="AV42" s="60"/>
    </row>
    <row r="43" ht="15.75" customHeight="1">
      <c r="A43" s="61" t="s">
        <v>252</v>
      </c>
      <c r="B43" s="62" t="s">
        <v>379</v>
      </c>
      <c r="C43" s="61" t="s">
        <v>48</v>
      </c>
      <c r="D43" s="61" t="s">
        <v>120</v>
      </c>
      <c r="E43" s="62" t="s">
        <v>72</v>
      </c>
      <c r="F43" s="99" t="s">
        <v>380</v>
      </c>
      <c r="G43" s="63" t="s">
        <v>381</v>
      </c>
      <c r="H43" s="85" t="s">
        <v>382</v>
      </c>
      <c r="I43" s="86" t="s">
        <v>83</v>
      </c>
      <c r="J43" s="65">
        <v>45800.0</v>
      </c>
      <c r="K43" s="101">
        <v>46349.0</v>
      </c>
      <c r="L43" s="68">
        <f t="shared" si="2"/>
        <v>88</v>
      </c>
      <c r="M43" s="102" t="s">
        <v>383</v>
      </c>
      <c r="N43" s="142" t="s">
        <v>379</v>
      </c>
      <c r="O43" s="71" t="s">
        <v>385</v>
      </c>
      <c r="P43" s="142" t="s">
        <v>379</v>
      </c>
      <c r="Q43" s="72"/>
      <c r="R43" s="72"/>
      <c r="S43" s="72"/>
      <c r="T43" s="72"/>
      <c r="AM43" s="60"/>
      <c r="AN43" s="60"/>
      <c r="AO43" s="60"/>
      <c r="AP43" s="60"/>
      <c r="AQ43" s="60"/>
      <c r="AR43" s="60"/>
      <c r="AS43" s="60"/>
      <c r="AT43" s="60"/>
      <c r="AU43" s="60"/>
      <c r="AV43" s="60"/>
    </row>
    <row r="44" ht="15.75" customHeight="1">
      <c r="A44" s="30" t="s">
        <v>252</v>
      </c>
      <c r="B44" s="33" t="s">
        <v>402</v>
      </c>
      <c r="C44" s="30" t="s">
        <v>48</v>
      </c>
      <c r="D44" s="30" t="s">
        <v>120</v>
      </c>
      <c r="E44" s="33" t="s">
        <v>403</v>
      </c>
      <c r="F44" s="217" t="s">
        <v>404</v>
      </c>
      <c r="G44" s="34" t="s">
        <v>406</v>
      </c>
      <c r="H44" s="90" t="s">
        <v>407</v>
      </c>
      <c r="I44" s="91" t="s">
        <v>183</v>
      </c>
      <c r="J44" s="38">
        <v>45805.0</v>
      </c>
      <c r="K44" s="92">
        <v>46170.0</v>
      </c>
      <c r="L44" s="47" t="str">
        <f t="shared" si="2"/>
        <v>EXPIRED</v>
      </c>
      <c r="M44" s="218" t="s">
        <v>408</v>
      </c>
      <c r="N44" s="180"/>
      <c r="O44" s="57"/>
      <c r="P44" s="35"/>
      <c r="Q44" s="57"/>
      <c r="R44" s="57"/>
      <c r="S44" s="57"/>
      <c r="T44" s="57"/>
      <c r="U44" s="51"/>
      <c r="AM44" s="60"/>
      <c r="AN44" s="60"/>
      <c r="AO44" s="60"/>
      <c r="AP44" s="60"/>
      <c r="AQ44" s="60"/>
      <c r="AR44" s="60"/>
      <c r="AS44" s="60"/>
      <c r="AT44" s="60"/>
      <c r="AU44" s="60"/>
      <c r="AV44" s="60"/>
    </row>
    <row r="45" ht="15.75" customHeight="1">
      <c r="A45" s="61" t="s">
        <v>252</v>
      </c>
      <c r="B45" s="62" t="s">
        <v>409</v>
      </c>
      <c r="C45" s="61" t="s">
        <v>48</v>
      </c>
      <c r="D45" s="61" t="s">
        <v>120</v>
      </c>
      <c r="E45" s="62" t="s">
        <v>72</v>
      </c>
      <c r="F45" s="99" t="s">
        <v>321</v>
      </c>
      <c r="G45" s="63" t="s">
        <v>322</v>
      </c>
      <c r="H45" s="219" t="s">
        <v>411</v>
      </c>
      <c r="I45" s="86" t="s">
        <v>158</v>
      </c>
      <c r="J45" s="65">
        <v>45579.0</v>
      </c>
      <c r="K45" s="101">
        <v>45944.0</v>
      </c>
      <c r="L45" s="68" t="str">
        <f t="shared" si="2"/>
        <v>EXPIRED</v>
      </c>
      <c r="M45" s="102" t="s">
        <v>414</v>
      </c>
      <c r="N45" s="81" t="s">
        <v>409</v>
      </c>
      <c r="O45" s="71" t="s">
        <v>416</v>
      </c>
      <c r="P45" s="142" t="s">
        <v>409</v>
      </c>
      <c r="Q45" s="72"/>
      <c r="R45" s="72"/>
      <c r="S45" s="72"/>
      <c r="T45" s="72"/>
      <c r="U45" s="51"/>
      <c r="AM45" s="60"/>
      <c r="AN45" s="60"/>
      <c r="AO45" s="60"/>
      <c r="AP45" s="60"/>
      <c r="AQ45" s="60"/>
      <c r="AR45" s="60"/>
      <c r="AS45" s="60"/>
      <c r="AT45" s="60"/>
      <c r="AU45" s="60"/>
      <c r="AV45" s="60"/>
    </row>
    <row r="46" ht="15.75" customHeight="1">
      <c r="A46" s="30" t="s">
        <v>252</v>
      </c>
      <c r="B46" s="33" t="s">
        <v>419</v>
      </c>
      <c r="C46" s="30" t="s">
        <v>48</v>
      </c>
      <c r="D46" s="30" t="s">
        <v>120</v>
      </c>
      <c r="E46" s="33" t="s">
        <v>72</v>
      </c>
      <c r="F46" s="89" t="s">
        <v>161</v>
      </c>
      <c r="G46" s="34" t="s">
        <v>162</v>
      </c>
      <c r="H46" s="90"/>
      <c r="I46" s="91" t="s">
        <v>83</v>
      </c>
      <c r="J46" s="38">
        <v>45531.0</v>
      </c>
      <c r="K46" s="92">
        <v>45896.0</v>
      </c>
      <c r="L46" s="47" t="str">
        <f t="shared" si="2"/>
        <v>EXPIRED</v>
      </c>
      <c r="M46" s="220" t="s">
        <v>420</v>
      </c>
      <c r="N46" s="54" t="s">
        <v>419</v>
      </c>
      <c r="O46" s="54" t="s">
        <v>421</v>
      </c>
      <c r="P46" s="110" t="s">
        <v>419</v>
      </c>
      <c r="Q46" s="57"/>
      <c r="R46" s="57"/>
      <c r="S46" s="57"/>
      <c r="T46" s="57"/>
      <c r="AM46" s="60"/>
      <c r="AN46" s="60"/>
      <c r="AO46" s="60"/>
      <c r="AP46" s="60"/>
      <c r="AQ46" s="60"/>
      <c r="AR46" s="60"/>
      <c r="AS46" s="60"/>
      <c r="AT46" s="60"/>
      <c r="AU46" s="60"/>
      <c r="AV46" s="60"/>
    </row>
    <row r="47" ht="15.75" customHeight="1">
      <c r="A47" s="61" t="s">
        <v>252</v>
      </c>
      <c r="B47" s="62" t="s">
        <v>160</v>
      </c>
      <c r="C47" s="61" t="s">
        <v>48</v>
      </c>
      <c r="D47" s="61" t="s">
        <v>120</v>
      </c>
      <c r="E47" s="62" t="s">
        <v>87</v>
      </c>
      <c r="F47" s="99" t="s">
        <v>161</v>
      </c>
      <c r="G47" s="63" t="s">
        <v>162</v>
      </c>
      <c r="H47" s="85"/>
      <c r="I47" s="86" t="s">
        <v>83</v>
      </c>
      <c r="J47" s="65">
        <v>45566.0</v>
      </c>
      <c r="K47" s="101">
        <v>45931.0</v>
      </c>
      <c r="L47" s="68" t="str">
        <f t="shared" si="2"/>
        <v>EXPIRED</v>
      </c>
      <c r="M47" s="102" t="s">
        <v>164</v>
      </c>
      <c r="N47" s="81" t="s">
        <v>160</v>
      </c>
      <c r="O47" s="71" t="s">
        <v>427</v>
      </c>
      <c r="P47" s="142" t="s">
        <v>160</v>
      </c>
      <c r="Q47" s="72"/>
      <c r="R47" s="72"/>
      <c r="S47" s="72"/>
      <c r="T47" s="72"/>
      <c r="AM47" s="60"/>
      <c r="AN47" s="60"/>
      <c r="AO47" s="60"/>
      <c r="AP47" s="60"/>
      <c r="AQ47" s="60"/>
      <c r="AR47" s="60"/>
      <c r="AS47" s="60"/>
      <c r="AT47" s="60"/>
      <c r="AU47" s="60"/>
      <c r="AV47" s="60"/>
    </row>
    <row r="48" ht="15.75" customHeight="1">
      <c r="A48" s="30" t="s">
        <v>252</v>
      </c>
      <c r="B48" s="33" t="s">
        <v>432</v>
      </c>
      <c r="C48" s="30" t="s">
        <v>48</v>
      </c>
      <c r="D48" s="30" t="s">
        <v>110</v>
      </c>
      <c r="E48" s="33" t="s">
        <v>87</v>
      </c>
      <c r="F48" s="89" t="s">
        <v>433</v>
      </c>
      <c r="G48" s="34" t="s">
        <v>434</v>
      </c>
      <c r="H48" s="90"/>
      <c r="I48" s="91" t="s">
        <v>83</v>
      </c>
      <c r="J48" s="38">
        <v>45531.0</v>
      </c>
      <c r="K48" s="92">
        <v>45896.0</v>
      </c>
      <c r="L48" s="47" t="str">
        <f t="shared" si="2"/>
        <v>EXPIRED</v>
      </c>
      <c r="M48" s="220" t="s">
        <v>436</v>
      </c>
      <c r="N48" s="49" t="s">
        <v>432</v>
      </c>
      <c r="O48" s="54" t="s">
        <v>437</v>
      </c>
      <c r="P48" s="110" t="s">
        <v>432</v>
      </c>
      <c r="Q48" s="57"/>
      <c r="R48" s="57"/>
      <c r="S48" s="57"/>
      <c r="T48" s="57"/>
      <c r="AM48" s="60"/>
      <c r="AN48" s="60"/>
      <c r="AO48" s="60"/>
      <c r="AP48" s="60"/>
      <c r="AQ48" s="60"/>
      <c r="AR48" s="60"/>
      <c r="AS48" s="60"/>
      <c r="AT48" s="60"/>
      <c r="AU48" s="60"/>
      <c r="AV48" s="60"/>
    </row>
    <row r="49" ht="15.75" customHeight="1">
      <c r="A49" s="61" t="s">
        <v>252</v>
      </c>
      <c r="B49" s="62" t="s">
        <v>439</v>
      </c>
      <c r="C49" s="61" t="s">
        <v>48</v>
      </c>
      <c r="D49" s="61" t="s">
        <v>179</v>
      </c>
      <c r="E49" s="62" t="s">
        <v>72</v>
      </c>
      <c r="F49" s="99" t="s">
        <v>442</v>
      </c>
      <c r="G49" s="63" t="s">
        <v>443</v>
      </c>
      <c r="H49" s="225" t="s">
        <v>445</v>
      </c>
      <c r="I49" s="86" t="s">
        <v>83</v>
      </c>
      <c r="J49" s="65">
        <v>45707.0</v>
      </c>
      <c r="K49" s="101">
        <v>46010.0</v>
      </c>
      <c r="L49" s="68" t="str">
        <f t="shared" si="2"/>
        <v>EXPIRED</v>
      </c>
      <c r="M49" s="102" t="s">
        <v>450</v>
      </c>
      <c r="N49" s="81" t="s">
        <v>439</v>
      </c>
      <c r="O49" s="71" t="s">
        <v>453</v>
      </c>
      <c r="P49" s="142" t="s">
        <v>439</v>
      </c>
      <c r="Q49" s="72"/>
      <c r="R49" s="72"/>
      <c r="S49" s="72"/>
      <c r="T49" s="72"/>
      <c r="AM49" s="60"/>
      <c r="AN49" s="60"/>
      <c r="AO49" s="60"/>
      <c r="AP49" s="60"/>
      <c r="AQ49" s="60"/>
      <c r="AR49" s="60"/>
      <c r="AS49" s="60"/>
      <c r="AT49" s="60"/>
      <c r="AU49" s="60"/>
      <c r="AV49" s="60"/>
    </row>
    <row r="50" ht="15.75" customHeight="1">
      <c r="A50" s="30" t="s">
        <v>252</v>
      </c>
      <c r="B50" s="33" t="s">
        <v>458</v>
      </c>
      <c r="C50" s="30" t="s">
        <v>48</v>
      </c>
      <c r="D50" s="30" t="s">
        <v>179</v>
      </c>
      <c r="E50" s="33" t="s">
        <v>72</v>
      </c>
      <c r="F50" s="89" t="s">
        <v>442</v>
      </c>
      <c r="G50" s="34" t="s">
        <v>443</v>
      </c>
      <c r="H50" s="233" t="s">
        <v>461</v>
      </c>
      <c r="I50" s="91" t="s">
        <v>83</v>
      </c>
      <c r="J50" s="38">
        <v>45707.0</v>
      </c>
      <c r="K50" s="92">
        <v>46010.0</v>
      </c>
      <c r="L50" s="47" t="str">
        <f t="shared" si="2"/>
        <v>EXPIRED</v>
      </c>
      <c r="M50" s="220" t="s">
        <v>462</v>
      </c>
      <c r="N50" s="49" t="s">
        <v>458</v>
      </c>
      <c r="O50" s="54" t="s">
        <v>467</v>
      </c>
      <c r="P50" s="110" t="s">
        <v>458</v>
      </c>
      <c r="Q50" s="57"/>
      <c r="R50" s="57"/>
      <c r="S50" s="57"/>
      <c r="T50" s="57"/>
      <c r="AM50" s="60"/>
      <c r="AN50" s="60"/>
      <c r="AO50" s="60"/>
      <c r="AP50" s="60"/>
      <c r="AQ50" s="60"/>
      <c r="AR50" s="60"/>
      <c r="AS50" s="60"/>
      <c r="AT50" s="60"/>
      <c r="AU50" s="60"/>
      <c r="AV50" s="60"/>
    </row>
    <row r="51" ht="15.75" customHeight="1">
      <c r="A51" s="61" t="s">
        <v>252</v>
      </c>
      <c r="B51" s="62" t="s">
        <v>428</v>
      </c>
      <c r="C51" s="61" t="s">
        <v>48</v>
      </c>
      <c r="D51" s="61" t="s">
        <v>179</v>
      </c>
      <c r="E51" s="62" t="s">
        <v>72</v>
      </c>
      <c r="F51" s="99" t="s">
        <v>429</v>
      </c>
      <c r="G51" s="63" t="s">
        <v>430</v>
      </c>
      <c r="H51" s="85" t="s">
        <v>477</v>
      </c>
      <c r="I51" s="86" t="s">
        <v>83</v>
      </c>
      <c r="J51" s="65">
        <v>45670.0</v>
      </c>
      <c r="K51" s="101">
        <v>46035.0</v>
      </c>
      <c r="L51" s="68" t="str">
        <f t="shared" si="2"/>
        <v>EXPIRED</v>
      </c>
      <c r="M51" s="102" t="s">
        <v>431</v>
      </c>
      <c r="N51" s="71" t="s">
        <v>428</v>
      </c>
      <c r="O51" s="71" t="s">
        <v>435</v>
      </c>
      <c r="P51" s="142" t="s">
        <v>428</v>
      </c>
      <c r="Q51" s="72"/>
      <c r="R51" s="72"/>
      <c r="S51" s="72"/>
      <c r="T51" s="72"/>
      <c r="AM51" s="60"/>
      <c r="AN51" s="60"/>
      <c r="AO51" s="60"/>
      <c r="AP51" s="60"/>
      <c r="AQ51" s="60"/>
      <c r="AR51" s="60"/>
      <c r="AS51" s="60"/>
      <c r="AT51" s="60"/>
      <c r="AU51" s="60"/>
      <c r="AV51" s="60"/>
    </row>
    <row r="52" ht="15.75" customHeight="1">
      <c r="A52" s="30" t="s">
        <v>252</v>
      </c>
      <c r="B52" s="33" t="s">
        <v>486</v>
      </c>
      <c r="C52" s="30" t="s">
        <v>48</v>
      </c>
      <c r="D52" s="30" t="s">
        <v>179</v>
      </c>
      <c r="E52" s="33" t="s">
        <v>72</v>
      </c>
      <c r="F52" s="89" t="s">
        <v>488</v>
      </c>
      <c r="G52" s="34" t="s">
        <v>489</v>
      </c>
      <c r="H52" s="90"/>
      <c r="I52" s="91" t="s">
        <v>83</v>
      </c>
      <c r="J52" s="38">
        <v>45635.0</v>
      </c>
      <c r="K52" s="92">
        <v>45874.0</v>
      </c>
      <c r="L52" s="47" t="str">
        <f t="shared" si="2"/>
        <v>EXPIRED</v>
      </c>
      <c r="M52" s="220" t="s">
        <v>491</v>
      </c>
      <c r="N52" s="54" t="s">
        <v>486</v>
      </c>
      <c r="O52" s="54" t="s">
        <v>493</v>
      </c>
      <c r="P52" s="110" t="s">
        <v>486</v>
      </c>
      <c r="Q52" s="57"/>
      <c r="R52" s="57"/>
      <c r="S52" s="57"/>
      <c r="T52" s="57"/>
      <c r="AM52" s="60"/>
      <c r="AN52" s="60"/>
      <c r="AO52" s="60"/>
      <c r="AP52" s="60"/>
      <c r="AQ52" s="60"/>
      <c r="AR52" s="60"/>
      <c r="AS52" s="60"/>
      <c r="AT52" s="60"/>
      <c r="AU52" s="60"/>
      <c r="AV52" s="60"/>
    </row>
    <row r="53" ht="15.75" customHeight="1">
      <c r="A53" s="61" t="s">
        <v>252</v>
      </c>
      <c r="B53" s="239" t="s">
        <v>133</v>
      </c>
      <c r="C53" s="72" t="s">
        <v>48</v>
      </c>
      <c r="D53" s="72" t="s">
        <v>179</v>
      </c>
      <c r="E53" s="239" t="s">
        <v>87</v>
      </c>
      <c r="F53" s="241" t="s">
        <v>134</v>
      </c>
      <c r="G53" s="63" t="s">
        <v>135</v>
      </c>
      <c r="H53" s="242" t="s">
        <v>501</v>
      </c>
      <c r="I53" s="68" t="s">
        <v>83</v>
      </c>
      <c r="J53" s="65">
        <v>45503.0</v>
      </c>
      <c r="K53" s="101">
        <v>45868.0</v>
      </c>
      <c r="L53" s="68" t="str">
        <f t="shared" si="2"/>
        <v>EXPIRED</v>
      </c>
      <c r="M53" s="102" t="s">
        <v>142</v>
      </c>
      <c r="N53" s="81" t="s">
        <v>133</v>
      </c>
      <c r="O53" s="71" t="s">
        <v>475</v>
      </c>
      <c r="P53" s="142" t="s">
        <v>133</v>
      </c>
      <c r="Q53" s="72"/>
      <c r="R53" s="72"/>
      <c r="S53" s="72"/>
      <c r="T53" s="72"/>
      <c r="AM53" s="60"/>
      <c r="AN53" s="60"/>
      <c r="AO53" s="60"/>
      <c r="AP53" s="60"/>
      <c r="AQ53" s="60"/>
      <c r="AR53" s="60"/>
      <c r="AS53" s="60"/>
      <c r="AT53" s="60"/>
      <c r="AU53" s="60"/>
      <c r="AV53" s="60"/>
    </row>
    <row r="54" ht="15.75" customHeight="1">
      <c r="A54" s="30" t="s">
        <v>260</v>
      </c>
      <c r="B54" s="33" t="s">
        <v>423</v>
      </c>
      <c r="C54" s="30" t="s">
        <v>48</v>
      </c>
      <c r="D54" s="30" t="s">
        <v>120</v>
      </c>
      <c r="E54" s="33" t="s">
        <v>72</v>
      </c>
      <c r="F54" s="89" t="s">
        <v>508</v>
      </c>
      <c r="G54" s="34" t="s">
        <v>425</v>
      </c>
      <c r="H54" s="90" t="s">
        <v>510</v>
      </c>
      <c r="I54" s="91" t="s">
        <v>83</v>
      </c>
      <c r="J54" s="38">
        <v>45778.0</v>
      </c>
      <c r="K54" s="92">
        <v>46143.0</v>
      </c>
      <c r="L54" s="47" t="str">
        <f t="shared" si="2"/>
        <v>EXPIRED</v>
      </c>
      <c r="M54" s="196" t="s">
        <v>511</v>
      </c>
      <c r="N54" s="35"/>
      <c r="O54" s="57"/>
      <c r="P54" s="30"/>
      <c r="Q54" s="57"/>
      <c r="R54" s="57"/>
      <c r="S54" s="57"/>
      <c r="T54" s="57"/>
      <c r="AM54" s="60"/>
      <c r="AN54" s="60"/>
      <c r="AO54" s="60"/>
      <c r="AP54" s="60"/>
      <c r="AQ54" s="60"/>
      <c r="AR54" s="60"/>
      <c r="AS54" s="60"/>
      <c r="AT54" s="60"/>
      <c r="AU54" s="60"/>
      <c r="AV54" s="60"/>
    </row>
    <row r="55" ht="15.75" customHeight="1">
      <c r="A55" s="61" t="s">
        <v>260</v>
      </c>
      <c r="B55" s="62" t="s">
        <v>514</v>
      </c>
      <c r="C55" s="61" t="s">
        <v>48</v>
      </c>
      <c r="D55" s="61" t="s">
        <v>120</v>
      </c>
      <c r="E55" s="62" t="s">
        <v>72</v>
      </c>
      <c r="F55" s="99" t="s">
        <v>515</v>
      </c>
      <c r="G55" s="63" t="s">
        <v>516</v>
      </c>
      <c r="H55" s="85"/>
      <c r="I55" s="86" t="s">
        <v>183</v>
      </c>
      <c r="J55" s="80">
        <v>45835.0</v>
      </c>
      <c r="K55" s="101">
        <v>46199.0</v>
      </c>
      <c r="L55" s="68" t="str">
        <f t="shared" si="2"/>
        <v>EXPIRED</v>
      </c>
      <c r="M55" s="102" t="s">
        <v>518</v>
      </c>
      <c r="N55" s="81" t="s">
        <v>514</v>
      </c>
      <c r="O55" s="72"/>
      <c r="P55" s="64"/>
      <c r="Q55" s="72"/>
      <c r="R55" s="72"/>
      <c r="S55" s="72"/>
      <c r="T55" s="72"/>
      <c r="AM55" s="60"/>
      <c r="AN55" s="60"/>
      <c r="AO55" s="60"/>
      <c r="AP55" s="60"/>
      <c r="AQ55" s="60"/>
      <c r="AR55" s="60"/>
      <c r="AS55" s="60"/>
      <c r="AT55" s="60"/>
      <c r="AU55" s="60"/>
      <c r="AV55" s="60"/>
    </row>
    <row r="56" ht="15.75" customHeight="1">
      <c r="A56" s="30" t="s">
        <v>260</v>
      </c>
      <c r="B56" s="33" t="s">
        <v>263</v>
      </c>
      <c r="C56" s="30" t="s">
        <v>48</v>
      </c>
      <c r="D56" s="30" t="s">
        <v>110</v>
      </c>
      <c r="E56" s="33" t="s">
        <v>72</v>
      </c>
      <c r="F56" s="33" t="s">
        <v>264</v>
      </c>
      <c r="G56" s="34" t="s">
        <v>265</v>
      </c>
      <c r="H56" s="90" t="s">
        <v>525</v>
      </c>
      <c r="I56" s="91" t="s">
        <v>83</v>
      </c>
      <c r="J56" s="38">
        <v>45624.0</v>
      </c>
      <c r="K56" s="38">
        <v>45989.0</v>
      </c>
      <c r="L56" s="47" t="str">
        <f t="shared" si="2"/>
        <v>EXPIRED</v>
      </c>
      <c r="M56" s="57"/>
      <c r="N56" s="49" t="s">
        <v>263</v>
      </c>
      <c r="O56" s="54" t="s">
        <v>272</v>
      </c>
      <c r="P56" s="110" t="s">
        <v>263</v>
      </c>
      <c r="Q56" s="57"/>
      <c r="R56" s="57"/>
      <c r="S56" s="57"/>
      <c r="T56" s="57"/>
      <c r="AM56" s="60"/>
      <c r="AN56" s="60"/>
      <c r="AO56" s="60"/>
      <c r="AP56" s="60"/>
      <c r="AQ56" s="60"/>
      <c r="AR56" s="60"/>
      <c r="AS56" s="60"/>
      <c r="AT56" s="60"/>
      <c r="AU56" s="60"/>
      <c r="AV56" s="60"/>
    </row>
    <row r="57" ht="15.75" customHeight="1">
      <c r="A57" s="61" t="s">
        <v>260</v>
      </c>
      <c r="B57" s="62" t="s">
        <v>363</v>
      </c>
      <c r="C57" s="61" t="s">
        <v>48</v>
      </c>
      <c r="D57" s="61" t="s">
        <v>110</v>
      </c>
      <c r="E57" s="62" t="s">
        <v>72</v>
      </c>
      <c r="F57" s="99" t="s">
        <v>193</v>
      </c>
      <c r="G57" s="63" t="s">
        <v>194</v>
      </c>
      <c r="H57" s="85"/>
      <c r="I57" s="86" t="s">
        <v>83</v>
      </c>
      <c r="J57" s="65">
        <v>45673.0</v>
      </c>
      <c r="K57" s="101">
        <v>46038.0</v>
      </c>
      <c r="L57" s="68" t="str">
        <f t="shared" si="2"/>
        <v>EXPIRED</v>
      </c>
      <c r="M57" s="102" t="s">
        <v>370</v>
      </c>
      <c r="N57" s="81" t="s">
        <v>363</v>
      </c>
      <c r="O57" s="71" t="s">
        <v>374</v>
      </c>
      <c r="P57" s="142" t="s">
        <v>363</v>
      </c>
      <c r="Q57" s="72"/>
      <c r="R57" s="72"/>
      <c r="S57" s="72"/>
      <c r="T57" s="72"/>
      <c r="AM57" s="60"/>
      <c r="AN57" s="60"/>
      <c r="AO57" s="60"/>
      <c r="AP57" s="60"/>
      <c r="AQ57" s="60"/>
      <c r="AR57" s="60"/>
      <c r="AS57" s="60"/>
      <c r="AT57" s="60"/>
      <c r="AU57" s="60"/>
      <c r="AV57" s="60"/>
    </row>
    <row r="58" ht="15.75" customHeight="1">
      <c r="A58" s="30" t="s">
        <v>260</v>
      </c>
      <c r="B58" s="33" t="s">
        <v>254</v>
      </c>
      <c r="C58" s="30" t="s">
        <v>48</v>
      </c>
      <c r="D58" s="30" t="s">
        <v>179</v>
      </c>
      <c r="E58" s="33" t="s">
        <v>72</v>
      </c>
      <c r="F58" s="89" t="s">
        <v>542</v>
      </c>
      <c r="G58" s="34" t="s">
        <v>543</v>
      </c>
      <c r="H58" s="90"/>
      <c r="I58" s="91" t="s">
        <v>83</v>
      </c>
      <c r="J58" s="38">
        <v>45525.0</v>
      </c>
      <c r="K58" s="38">
        <v>45890.0</v>
      </c>
      <c r="L58" s="47" t="str">
        <f t="shared" si="2"/>
        <v>EXPIRED</v>
      </c>
      <c r="M58" s="57"/>
      <c r="N58" s="54" t="s">
        <v>254</v>
      </c>
      <c r="O58" s="54" t="s">
        <v>258</v>
      </c>
      <c r="P58" s="110" t="s">
        <v>254</v>
      </c>
      <c r="Q58" s="57"/>
      <c r="R58" s="57"/>
      <c r="S58" s="57"/>
      <c r="T58" s="57"/>
      <c r="AM58" s="60"/>
      <c r="AN58" s="60"/>
      <c r="AO58" s="60"/>
      <c r="AP58" s="60"/>
      <c r="AQ58" s="60"/>
      <c r="AR58" s="60"/>
      <c r="AS58" s="60"/>
      <c r="AT58" s="60"/>
      <c r="AU58" s="60"/>
      <c r="AV58" s="60"/>
    </row>
    <row r="59" ht="15.75" customHeight="1">
      <c r="A59" s="61" t="s">
        <v>260</v>
      </c>
      <c r="B59" s="62" t="s">
        <v>330</v>
      </c>
      <c r="C59" s="61" t="s">
        <v>48</v>
      </c>
      <c r="D59" s="61" t="s">
        <v>179</v>
      </c>
      <c r="E59" s="62" t="s">
        <v>72</v>
      </c>
      <c r="F59" s="99" t="s">
        <v>264</v>
      </c>
      <c r="G59" s="63" t="s">
        <v>265</v>
      </c>
      <c r="H59" s="85" t="s">
        <v>525</v>
      </c>
      <c r="I59" s="86" t="s">
        <v>83</v>
      </c>
      <c r="J59" s="80">
        <v>45624.0</v>
      </c>
      <c r="K59" s="101">
        <v>45989.0</v>
      </c>
      <c r="L59" s="68" t="str">
        <f t="shared" si="2"/>
        <v>EXPIRED</v>
      </c>
      <c r="M59" s="102" t="s">
        <v>331</v>
      </c>
      <c r="N59" s="81" t="s">
        <v>330</v>
      </c>
      <c r="O59" s="71" t="s">
        <v>336</v>
      </c>
      <c r="P59" s="142" t="s">
        <v>330</v>
      </c>
      <c r="Q59" s="72"/>
      <c r="R59" s="72"/>
      <c r="S59" s="72"/>
      <c r="T59" s="72"/>
      <c r="AM59" s="60"/>
      <c r="AN59" s="60"/>
      <c r="AO59" s="60"/>
      <c r="AP59" s="60"/>
      <c r="AQ59" s="60"/>
      <c r="AR59" s="60"/>
      <c r="AS59" s="60"/>
      <c r="AT59" s="60"/>
      <c r="AU59" s="60"/>
      <c r="AV59" s="60"/>
    </row>
    <row r="60" ht="15.75" customHeight="1">
      <c r="A60" s="30" t="s">
        <v>260</v>
      </c>
      <c r="B60" s="249" t="s">
        <v>410</v>
      </c>
      <c r="C60" s="30" t="s">
        <v>48</v>
      </c>
      <c r="D60" s="30" t="s">
        <v>179</v>
      </c>
      <c r="E60" s="33" t="s">
        <v>72</v>
      </c>
      <c r="F60" s="89" t="s">
        <v>412</v>
      </c>
      <c r="G60" s="34" t="s">
        <v>413</v>
      </c>
      <c r="H60" s="90" t="s">
        <v>548</v>
      </c>
      <c r="I60" s="91" t="s">
        <v>83</v>
      </c>
      <c r="J60" s="38">
        <v>45627.0</v>
      </c>
      <c r="K60" s="92">
        <v>45809.0</v>
      </c>
      <c r="L60" s="47" t="str">
        <f t="shared" si="2"/>
        <v>EXPIRED</v>
      </c>
      <c r="M60" s="220" t="s">
        <v>415</v>
      </c>
      <c r="N60" s="49" t="s">
        <v>417</v>
      </c>
      <c r="O60" s="54" t="s">
        <v>418</v>
      </c>
      <c r="P60" s="110" t="s">
        <v>417</v>
      </c>
      <c r="Q60" s="57"/>
      <c r="R60" s="57"/>
      <c r="S60" s="57"/>
      <c r="T60" s="57"/>
      <c r="AM60" s="60"/>
      <c r="AN60" s="60"/>
      <c r="AO60" s="60"/>
      <c r="AP60" s="60"/>
      <c r="AQ60" s="60"/>
      <c r="AR60" s="60"/>
      <c r="AS60" s="60"/>
      <c r="AT60" s="60"/>
      <c r="AU60" s="60"/>
      <c r="AV60" s="60"/>
    </row>
    <row r="61" ht="15.75" customHeight="1">
      <c r="A61" s="61" t="s">
        <v>260</v>
      </c>
      <c r="B61" s="95" t="s">
        <v>549</v>
      </c>
      <c r="C61" s="61"/>
      <c r="D61" s="61" t="s">
        <v>179</v>
      </c>
      <c r="E61" s="62" t="s">
        <v>87</v>
      </c>
      <c r="F61" s="99" t="s">
        <v>193</v>
      </c>
      <c r="G61" s="63" t="s">
        <v>194</v>
      </c>
      <c r="H61" s="85"/>
      <c r="I61" s="86" t="s">
        <v>58</v>
      </c>
      <c r="J61" s="65">
        <v>45524.0</v>
      </c>
      <c r="K61" s="101">
        <v>45889.0</v>
      </c>
      <c r="L61" s="68" t="str">
        <f t="shared" si="2"/>
        <v>EXPIRED</v>
      </c>
      <c r="M61" s="102" t="s">
        <v>313</v>
      </c>
      <c r="N61" s="71" t="s">
        <v>311</v>
      </c>
      <c r="O61" s="250" t="s">
        <v>314</v>
      </c>
      <c r="P61" s="142" t="s">
        <v>311</v>
      </c>
      <c r="Q61" s="72"/>
      <c r="R61" s="72"/>
      <c r="S61" s="72"/>
      <c r="T61" s="72"/>
      <c r="AM61" s="60"/>
      <c r="AN61" s="60"/>
      <c r="AO61" s="60"/>
      <c r="AP61" s="60"/>
      <c r="AQ61" s="60"/>
      <c r="AR61" s="60"/>
      <c r="AS61" s="60"/>
      <c r="AT61" s="60"/>
      <c r="AU61" s="60"/>
      <c r="AV61" s="60"/>
    </row>
    <row r="62" ht="15.75" customHeight="1">
      <c r="A62" s="30" t="s">
        <v>260</v>
      </c>
      <c r="B62" s="33" t="s">
        <v>351</v>
      </c>
      <c r="C62" s="30" t="s">
        <v>48</v>
      </c>
      <c r="D62" s="30" t="s">
        <v>179</v>
      </c>
      <c r="E62" s="33" t="s">
        <v>72</v>
      </c>
      <c r="F62" s="89" t="s">
        <v>552</v>
      </c>
      <c r="G62" s="34" t="s">
        <v>553</v>
      </c>
      <c r="H62" s="90" t="s">
        <v>554</v>
      </c>
      <c r="I62" s="113" t="s">
        <v>83</v>
      </c>
      <c r="J62" s="38">
        <v>45738.0</v>
      </c>
      <c r="K62" s="92">
        <v>45922.0</v>
      </c>
      <c r="L62" s="47" t="str">
        <f t="shared" si="2"/>
        <v>EXPIRED</v>
      </c>
      <c r="M62" s="220" t="s">
        <v>556</v>
      </c>
      <c r="N62" s="49" t="s">
        <v>351</v>
      </c>
      <c r="O62" s="54" t="s">
        <v>356</v>
      </c>
      <c r="P62" s="110" t="s">
        <v>351</v>
      </c>
      <c r="Q62" s="57"/>
      <c r="R62" s="57"/>
      <c r="S62" s="57"/>
      <c r="T62" s="57"/>
      <c r="AM62" s="60"/>
      <c r="AN62" s="60"/>
      <c r="AO62" s="60"/>
      <c r="AP62" s="60"/>
      <c r="AQ62" s="60"/>
      <c r="AR62" s="60"/>
      <c r="AS62" s="60"/>
      <c r="AT62" s="60"/>
      <c r="AU62" s="60"/>
      <c r="AV62" s="60"/>
    </row>
    <row r="63" ht="15.75" customHeight="1">
      <c r="A63" s="61" t="s">
        <v>260</v>
      </c>
      <c r="B63" s="62" t="s">
        <v>319</v>
      </c>
      <c r="C63" s="61" t="s">
        <v>48</v>
      </c>
      <c r="D63" s="61" t="s">
        <v>179</v>
      </c>
      <c r="E63" s="62" t="s">
        <v>72</v>
      </c>
      <c r="F63" s="99" t="s">
        <v>558</v>
      </c>
      <c r="G63" s="63" t="s">
        <v>559</v>
      </c>
      <c r="H63" s="85"/>
      <c r="I63" s="86" t="s">
        <v>83</v>
      </c>
      <c r="J63" s="65">
        <v>45612.0</v>
      </c>
      <c r="K63" s="101">
        <v>45977.0</v>
      </c>
      <c r="L63" s="68" t="str">
        <f t="shared" si="2"/>
        <v>EXPIRED</v>
      </c>
      <c r="M63" s="102" t="s">
        <v>560</v>
      </c>
      <c r="N63" s="81" t="s">
        <v>319</v>
      </c>
      <c r="O63" s="71" t="s">
        <v>327</v>
      </c>
      <c r="P63" s="142" t="s">
        <v>319</v>
      </c>
      <c r="Q63" s="72"/>
      <c r="R63" s="72"/>
      <c r="S63" s="72"/>
      <c r="T63" s="72"/>
      <c r="AM63" s="60"/>
      <c r="AN63" s="60"/>
      <c r="AO63" s="60"/>
      <c r="AP63" s="60"/>
      <c r="AQ63" s="60"/>
      <c r="AR63" s="60"/>
      <c r="AS63" s="60"/>
      <c r="AT63" s="60"/>
      <c r="AU63" s="60"/>
      <c r="AV63" s="60"/>
    </row>
    <row r="64" ht="15.75" customHeight="1">
      <c r="A64" s="30" t="s">
        <v>260</v>
      </c>
      <c r="B64" s="33" t="s">
        <v>386</v>
      </c>
      <c r="C64" s="30" t="s">
        <v>48</v>
      </c>
      <c r="D64" s="30" t="s">
        <v>179</v>
      </c>
      <c r="E64" s="33" t="s">
        <v>72</v>
      </c>
      <c r="F64" s="89" t="s">
        <v>388</v>
      </c>
      <c r="G64" s="34" t="s">
        <v>390</v>
      </c>
      <c r="H64" s="90"/>
      <c r="I64" s="113"/>
      <c r="J64" s="38"/>
      <c r="K64" s="38"/>
      <c r="L64" s="47" t="str">
        <f t="shared" si="2"/>
        <v/>
      </c>
      <c r="M64" s="57"/>
      <c r="N64" s="110" t="s">
        <v>386</v>
      </c>
      <c r="O64" s="54" t="s">
        <v>396</v>
      </c>
      <c r="P64" s="110" t="s">
        <v>386</v>
      </c>
      <c r="Q64" s="57"/>
      <c r="R64" s="57"/>
      <c r="S64" s="57"/>
      <c r="T64" s="57"/>
      <c r="AM64" s="60"/>
      <c r="AN64" s="60"/>
      <c r="AO64" s="60"/>
      <c r="AP64" s="60"/>
      <c r="AQ64" s="60"/>
      <c r="AR64" s="60"/>
      <c r="AS64" s="60"/>
      <c r="AT64" s="60"/>
      <c r="AU64" s="60"/>
      <c r="AV64" s="60"/>
    </row>
    <row r="65" ht="15.75" customHeight="1">
      <c r="A65" s="61" t="s">
        <v>260</v>
      </c>
      <c r="B65" s="62" t="s">
        <v>299</v>
      </c>
      <c r="C65" s="61" t="s">
        <v>48</v>
      </c>
      <c r="D65" s="61" t="s">
        <v>179</v>
      </c>
      <c r="E65" s="62" t="s">
        <v>72</v>
      </c>
      <c r="F65" s="99" t="s">
        <v>566</v>
      </c>
      <c r="G65" s="36" t="s">
        <v>567</v>
      </c>
      <c r="H65" s="85"/>
      <c r="I65" s="251" t="s">
        <v>83</v>
      </c>
      <c r="J65" s="65">
        <v>45533.0</v>
      </c>
      <c r="K65" s="101">
        <v>45898.0</v>
      </c>
      <c r="L65" s="68" t="str">
        <f t="shared" si="2"/>
        <v>EXPIRED</v>
      </c>
      <c r="M65" s="102" t="s">
        <v>304</v>
      </c>
      <c r="N65" s="81" t="s">
        <v>299</v>
      </c>
      <c r="O65" s="250" t="s">
        <v>305</v>
      </c>
      <c r="P65" s="142" t="s">
        <v>299</v>
      </c>
      <c r="Q65" s="72"/>
      <c r="R65" s="72"/>
      <c r="S65" s="72"/>
      <c r="T65" s="72"/>
      <c r="AM65" s="60"/>
      <c r="AN65" s="60"/>
      <c r="AO65" s="60"/>
      <c r="AP65" s="60"/>
      <c r="AQ65" s="60"/>
      <c r="AR65" s="60"/>
      <c r="AS65" s="60"/>
      <c r="AT65" s="60"/>
      <c r="AU65" s="60"/>
      <c r="AV65" s="60"/>
    </row>
    <row r="66" ht="15.75" customHeight="1">
      <c r="A66" s="30" t="s">
        <v>260</v>
      </c>
      <c r="B66" s="33" t="s">
        <v>342</v>
      </c>
      <c r="C66" s="30" t="s">
        <v>48</v>
      </c>
      <c r="D66" s="30" t="s">
        <v>179</v>
      </c>
      <c r="E66" s="33" t="s">
        <v>72</v>
      </c>
      <c r="F66" s="89" t="s">
        <v>364</v>
      </c>
      <c r="G66" s="34" t="s">
        <v>365</v>
      </c>
      <c r="H66" s="90"/>
      <c r="I66" s="91" t="s">
        <v>83</v>
      </c>
      <c r="J66" s="38">
        <v>45639.0</v>
      </c>
      <c r="K66" s="92">
        <v>46004.0</v>
      </c>
      <c r="L66" s="47" t="str">
        <f t="shared" si="2"/>
        <v>EXPIRED</v>
      </c>
      <c r="M66" s="220" t="s">
        <v>347</v>
      </c>
      <c r="N66" s="49" t="s">
        <v>342</v>
      </c>
      <c r="O66" s="54" t="s">
        <v>348</v>
      </c>
      <c r="P66" s="110" t="s">
        <v>342</v>
      </c>
      <c r="Q66" s="57"/>
      <c r="R66" s="57"/>
      <c r="S66" s="57"/>
      <c r="T66" s="57"/>
      <c r="AM66" s="60"/>
      <c r="AN66" s="60"/>
      <c r="AO66" s="60"/>
      <c r="AP66" s="60"/>
      <c r="AQ66" s="60"/>
      <c r="AR66" s="60"/>
      <c r="AS66" s="60"/>
      <c r="AT66" s="60"/>
      <c r="AU66" s="60"/>
      <c r="AV66" s="60"/>
    </row>
    <row r="67" ht="15.75" customHeight="1">
      <c r="A67" s="61" t="s">
        <v>260</v>
      </c>
      <c r="B67" s="62" t="s">
        <v>278</v>
      </c>
      <c r="C67" s="61" t="s">
        <v>48</v>
      </c>
      <c r="D67" s="61" t="s">
        <v>179</v>
      </c>
      <c r="E67" s="62" t="s">
        <v>87</v>
      </c>
      <c r="F67" s="99" t="s">
        <v>571</v>
      </c>
      <c r="G67" s="63" t="s">
        <v>572</v>
      </c>
      <c r="H67" s="85"/>
      <c r="I67" s="86" t="s">
        <v>83</v>
      </c>
      <c r="J67" s="65">
        <v>45446.0</v>
      </c>
      <c r="K67" s="101">
        <v>45811.0</v>
      </c>
      <c r="L67" s="68" t="str">
        <f t="shared" si="2"/>
        <v>EXPIRED</v>
      </c>
      <c r="M67" s="102" t="s">
        <v>281</v>
      </c>
      <c r="N67" s="81" t="s">
        <v>278</v>
      </c>
      <c r="O67" s="71" t="s">
        <v>286</v>
      </c>
      <c r="P67" s="142" t="s">
        <v>278</v>
      </c>
      <c r="Q67" s="72"/>
      <c r="R67" s="72"/>
      <c r="S67" s="72"/>
      <c r="T67" s="72"/>
      <c r="AM67" s="60"/>
      <c r="AN67" s="60"/>
      <c r="AO67" s="60"/>
      <c r="AP67" s="60"/>
      <c r="AQ67" s="60"/>
      <c r="AR67" s="60"/>
      <c r="AS67" s="60"/>
      <c r="AT67" s="60"/>
      <c r="AU67" s="60"/>
      <c r="AV67" s="60"/>
    </row>
    <row r="68" ht="15.75" customHeight="1">
      <c r="A68" s="30" t="s">
        <v>574</v>
      </c>
      <c r="B68" s="33" t="s">
        <v>575</v>
      </c>
      <c r="C68" s="30" t="s">
        <v>48</v>
      </c>
      <c r="D68" s="30" t="s">
        <v>120</v>
      </c>
      <c r="E68" s="33" t="s">
        <v>51</v>
      </c>
      <c r="F68" s="89" t="s">
        <v>155</v>
      </c>
      <c r="G68" s="34" t="s">
        <v>156</v>
      </c>
      <c r="H68" s="191" t="s">
        <v>157</v>
      </c>
      <c r="I68" s="91" t="s">
        <v>83</v>
      </c>
      <c r="J68" s="38">
        <v>45635.0</v>
      </c>
      <c r="K68" s="38">
        <v>46000.0</v>
      </c>
      <c r="L68" s="47" t="str">
        <f t="shared" si="2"/>
        <v>EXPIRED</v>
      </c>
      <c r="M68" s="47"/>
      <c r="N68" s="49" t="s">
        <v>575</v>
      </c>
      <c r="O68" s="49" t="s">
        <v>577</v>
      </c>
      <c r="P68" s="57"/>
      <c r="Q68" s="57"/>
      <c r="R68" s="57"/>
      <c r="S68" s="57"/>
      <c r="T68" s="57"/>
      <c r="AM68" s="60"/>
      <c r="AN68" s="60"/>
      <c r="AO68" s="60"/>
      <c r="AP68" s="60"/>
      <c r="AQ68" s="60"/>
      <c r="AR68" s="60"/>
      <c r="AS68" s="60"/>
      <c r="AT68" s="60"/>
      <c r="AU68" s="60"/>
      <c r="AV68" s="60"/>
    </row>
    <row r="69" ht="15.75" customHeight="1">
      <c r="A69" s="61" t="s">
        <v>574</v>
      </c>
      <c r="B69" s="62" t="s">
        <v>579</v>
      </c>
      <c r="C69" s="61" t="s">
        <v>48</v>
      </c>
      <c r="D69" s="61" t="s">
        <v>120</v>
      </c>
      <c r="E69" s="62" t="s">
        <v>51</v>
      </c>
      <c r="F69" s="99" t="s">
        <v>155</v>
      </c>
      <c r="G69" s="63" t="s">
        <v>156</v>
      </c>
      <c r="H69" s="100" t="s">
        <v>157</v>
      </c>
      <c r="I69" s="86" t="s">
        <v>83</v>
      </c>
      <c r="J69" s="65">
        <v>45635.0</v>
      </c>
      <c r="K69" s="65">
        <v>46000.0</v>
      </c>
      <c r="L69" s="68" t="str">
        <f t="shared" si="2"/>
        <v>EXPIRED</v>
      </c>
      <c r="M69" s="68"/>
      <c r="N69" s="81" t="s">
        <v>579</v>
      </c>
      <c r="O69" s="81" t="s">
        <v>580</v>
      </c>
      <c r="P69" s="72"/>
      <c r="Q69" s="72"/>
      <c r="R69" s="72"/>
      <c r="S69" s="72"/>
      <c r="T69" s="72"/>
      <c r="AM69" s="60"/>
      <c r="AN69" s="60"/>
      <c r="AO69" s="60"/>
      <c r="AP69" s="60"/>
      <c r="AQ69" s="60"/>
      <c r="AR69" s="60"/>
      <c r="AS69" s="60"/>
      <c r="AT69" s="60"/>
      <c r="AU69" s="60"/>
      <c r="AV69" s="60"/>
    </row>
    <row r="70" ht="15.75" customHeight="1">
      <c r="A70" s="30" t="s">
        <v>574</v>
      </c>
      <c r="B70" s="33" t="s">
        <v>581</v>
      </c>
      <c r="C70" s="30" t="s">
        <v>48</v>
      </c>
      <c r="D70" s="30" t="s">
        <v>110</v>
      </c>
      <c r="E70" s="33" t="s">
        <v>51</v>
      </c>
      <c r="F70" s="33" t="s">
        <v>582</v>
      </c>
      <c r="G70" s="34" t="s">
        <v>583</v>
      </c>
      <c r="H70" s="90" t="s">
        <v>584</v>
      </c>
      <c r="I70" s="91" t="s">
        <v>83</v>
      </c>
      <c r="J70" s="38">
        <v>45553.0</v>
      </c>
      <c r="K70" s="38">
        <v>45918.0</v>
      </c>
      <c r="L70" s="47" t="str">
        <f t="shared" si="2"/>
        <v>EXPIRED</v>
      </c>
      <c r="M70" s="252"/>
      <c r="N70" s="49" t="s">
        <v>581</v>
      </c>
      <c r="O70" s="49" t="s">
        <v>586</v>
      </c>
      <c r="P70" s="57"/>
      <c r="Q70" s="57"/>
      <c r="R70" s="57"/>
      <c r="S70" s="57"/>
      <c r="T70" s="57"/>
      <c r="AM70" s="60"/>
      <c r="AN70" s="60"/>
      <c r="AO70" s="60"/>
      <c r="AP70" s="60"/>
      <c r="AQ70" s="60"/>
      <c r="AR70" s="60"/>
      <c r="AS70" s="60"/>
      <c r="AT70" s="60"/>
      <c r="AU70" s="60"/>
      <c r="AV70" s="60"/>
    </row>
    <row r="71" ht="15.75" customHeight="1">
      <c r="A71" s="61" t="s">
        <v>574</v>
      </c>
      <c r="B71" s="62" t="s">
        <v>588</v>
      </c>
      <c r="C71" s="61" t="s">
        <v>48</v>
      </c>
      <c r="D71" s="61" t="s">
        <v>179</v>
      </c>
      <c r="E71" s="62" t="s">
        <v>51</v>
      </c>
      <c r="F71" s="99" t="s">
        <v>589</v>
      </c>
      <c r="G71" s="63" t="s">
        <v>590</v>
      </c>
      <c r="H71" s="85" t="s">
        <v>591</v>
      </c>
      <c r="I71" s="86" t="s">
        <v>83</v>
      </c>
      <c r="J71" s="65">
        <v>45661.0</v>
      </c>
      <c r="K71" s="101">
        <v>46026.0</v>
      </c>
      <c r="L71" s="68" t="str">
        <f t="shared" si="2"/>
        <v>EXPIRED</v>
      </c>
      <c r="M71" s="102" t="s">
        <v>592</v>
      </c>
      <c r="N71" s="81" t="s">
        <v>588</v>
      </c>
      <c r="O71" s="81" t="s">
        <v>593</v>
      </c>
      <c r="P71" s="72"/>
      <c r="Q71" s="72"/>
      <c r="R71" s="72"/>
      <c r="S71" s="72"/>
      <c r="T71" s="72"/>
      <c r="AM71" s="60"/>
      <c r="AN71" s="60"/>
      <c r="AO71" s="60"/>
      <c r="AP71" s="60"/>
      <c r="AQ71" s="60"/>
      <c r="AR71" s="60"/>
      <c r="AS71" s="60"/>
      <c r="AT71" s="60"/>
      <c r="AU71" s="60"/>
      <c r="AV71" s="60"/>
    </row>
    <row r="72" ht="15.75" customHeight="1">
      <c r="A72" s="30" t="s">
        <v>595</v>
      </c>
      <c r="B72" s="33" t="s">
        <v>596</v>
      </c>
      <c r="C72" s="30" t="s">
        <v>48</v>
      </c>
      <c r="D72" s="30" t="s">
        <v>50</v>
      </c>
      <c r="E72" s="33" t="s">
        <v>72</v>
      </c>
      <c r="F72" s="33" t="s">
        <v>597</v>
      </c>
      <c r="G72" s="34" t="s">
        <v>598</v>
      </c>
      <c r="H72" s="191" t="s">
        <v>599</v>
      </c>
      <c r="I72" s="35" t="s">
        <v>58</v>
      </c>
      <c r="J72" s="114"/>
      <c r="K72" s="38"/>
      <c r="L72" s="47" t="str">
        <f t="shared" si="2"/>
        <v/>
      </c>
      <c r="M72" s="47"/>
      <c r="N72" s="110" t="s">
        <v>596</v>
      </c>
      <c r="O72" s="54" t="s">
        <v>601</v>
      </c>
      <c r="P72" s="54" t="s">
        <v>596</v>
      </c>
      <c r="Q72" s="57"/>
      <c r="R72" s="57"/>
      <c r="S72" s="57"/>
      <c r="T72" s="57"/>
      <c r="AM72" s="60"/>
      <c r="AN72" s="60"/>
      <c r="AO72" s="60"/>
      <c r="AP72" s="60"/>
      <c r="AQ72" s="60"/>
      <c r="AR72" s="60"/>
      <c r="AS72" s="60"/>
      <c r="AT72" s="60"/>
      <c r="AU72" s="60"/>
      <c r="AV72" s="60"/>
    </row>
    <row r="73" ht="15.75" customHeight="1">
      <c r="A73" s="61" t="s">
        <v>595</v>
      </c>
      <c r="B73" s="62" t="s">
        <v>602</v>
      </c>
      <c r="C73" s="61" t="s">
        <v>48</v>
      </c>
      <c r="D73" s="61" t="s">
        <v>50</v>
      </c>
      <c r="E73" s="62" t="s">
        <v>72</v>
      </c>
      <c r="F73" s="62" t="s">
        <v>597</v>
      </c>
      <c r="G73" s="63" t="s">
        <v>598</v>
      </c>
      <c r="H73" s="62"/>
      <c r="I73" s="64" t="s">
        <v>58</v>
      </c>
      <c r="J73" s="80"/>
      <c r="K73" s="65"/>
      <c r="L73" s="68" t="str">
        <f t="shared" si="2"/>
        <v/>
      </c>
      <c r="M73" s="68"/>
      <c r="N73" s="71" t="s">
        <v>602</v>
      </c>
      <c r="O73" s="71" t="s">
        <v>603</v>
      </c>
      <c r="P73" s="71" t="s">
        <v>602</v>
      </c>
      <c r="Q73" s="72"/>
      <c r="R73" s="72"/>
      <c r="S73" s="72"/>
      <c r="T73" s="72"/>
      <c r="AM73" s="60"/>
      <c r="AN73" s="60"/>
      <c r="AO73" s="60"/>
      <c r="AP73" s="60"/>
      <c r="AQ73" s="60"/>
      <c r="AR73" s="60"/>
      <c r="AS73" s="60"/>
      <c r="AT73" s="60"/>
      <c r="AU73" s="60"/>
      <c r="AV73" s="60"/>
    </row>
    <row r="74" ht="15.75" customHeight="1">
      <c r="A74" s="30" t="s">
        <v>170</v>
      </c>
      <c r="B74" s="33" t="s">
        <v>206</v>
      </c>
      <c r="C74" s="30" t="s">
        <v>48</v>
      </c>
      <c r="D74" s="30" t="s">
        <v>120</v>
      </c>
      <c r="E74" s="33" t="s">
        <v>72</v>
      </c>
      <c r="F74" s="253" t="s">
        <v>508</v>
      </c>
      <c r="G74" s="34" t="s">
        <v>354</v>
      </c>
      <c r="H74" s="90" t="s">
        <v>510</v>
      </c>
      <c r="I74" s="91" t="s">
        <v>83</v>
      </c>
      <c r="J74" s="38">
        <v>45716.0</v>
      </c>
      <c r="K74" s="92">
        <v>46081.0</v>
      </c>
      <c r="L74" s="47" t="str">
        <f t="shared" si="2"/>
        <v>EXPIRED</v>
      </c>
      <c r="M74" s="220" t="s">
        <v>210</v>
      </c>
      <c r="N74" s="54" t="s">
        <v>206</v>
      </c>
      <c r="O74" s="54" t="s">
        <v>211</v>
      </c>
      <c r="P74" s="110" t="s">
        <v>206</v>
      </c>
      <c r="Q74" s="57"/>
      <c r="R74" s="57"/>
      <c r="S74" s="57"/>
      <c r="T74" s="57"/>
      <c r="AM74" s="60"/>
      <c r="AN74" s="60"/>
      <c r="AO74" s="60"/>
      <c r="AP74" s="60"/>
      <c r="AQ74" s="60"/>
      <c r="AR74" s="60"/>
      <c r="AS74" s="60"/>
      <c r="AT74" s="60"/>
      <c r="AU74" s="60"/>
      <c r="AV74" s="60"/>
    </row>
    <row r="75" ht="15.75" customHeight="1">
      <c r="A75" s="61" t="s">
        <v>170</v>
      </c>
      <c r="B75" s="62" t="s">
        <v>218</v>
      </c>
      <c r="C75" s="61" t="s">
        <v>48</v>
      </c>
      <c r="D75" s="61" t="s">
        <v>179</v>
      </c>
      <c r="E75" s="62" t="s">
        <v>72</v>
      </c>
      <c r="F75" s="99" t="s">
        <v>343</v>
      </c>
      <c r="G75" s="63" t="s">
        <v>605</v>
      </c>
      <c r="H75" s="85" t="s">
        <v>606</v>
      </c>
      <c r="I75" s="86" t="s">
        <v>83</v>
      </c>
      <c r="J75" s="65">
        <v>45245.0</v>
      </c>
      <c r="K75" s="66" t="s">
        <v>62</v>
      </c>
      <c r="L75" s="68" t="str">
        <f t="shared" si="2"/>
        <v>?</v>
      </c>
      <c r="M75" s="72"/>
      <c r="N75" s="81" t="s">
        <v>218</v>
      </c>
      <c r="O75" s="71" t="s">
        <v>226</v>
      </c>
      <c r="P75" s="142" t="s">
        <v>218</v>
      </c>
      <c r="Q75" s="72"/>
      <c r="R75" s="72"/>
      <c r="S75" s="72"/>
      <c r="T75" s="72"/>
      <c r="AM75" s="60"/>
      <c r="AN75" s="60"/>
      <c r="AO75" s="60"/>
      <c r="AP75" s="60"/>
      <c r="AQ75" s="60"/>
      <c r="AR75" s="60"/>
      <c r="AS75" s="60"/>
      <c r="AT75" s="60"/>
      <c r="AU75" s="60"/>
      <c r="AV75" s="60"/>
    </row>
    <row r="76" ht="15.75" customHeight="1">
      <c r="A76" s="30" t="s">
        <v>170</v>
      </c>
      <c r="B76" s="33" t="s">
        <v>192</v>
      </c>
      <c r="C76" s="30" t="s">
        <v>48</v>
      </c>
      <c r="D76" s="30" t="s">
        <v>179</v>
      </c>
      <c r="E76" s="33" t="s">
        <v>72</v>
      </c>
      <c r="F76" s="89" t="s">
        <v>607</v>
      </c>
      <c r="G76" s="34" t="s">
        <v>608</v>
      </c>
      <c r="H76" s="90" t="s">
        <v>445</v>
      </c>
      <c r="I76" s="91" t="s">
        <v>83</v>
      </c>
      <c r="J76" s="38">
        <v>45673.0</v>
      </c>
      <c r="K76" s="38">
        <v>46038.0</v>
      </c>
      <c r="L76" s="47" t="str">
        <f t="shared" si="2"/>
        <v>EXPIRED</v>
      </c>
      <c r="M76" s="57"/>
      <c r="N76" s="49" t="s">
        <v>192</v>
      </c>
      <c r="O76" s="54" t="s">
        <v>198</v>
      </c>
      <c r="P76" s="110" t="s">
        <v>192</v>
      </c>
      <c r="Q76" s="57"/>
      <c r="R76" s="57"/>
      <c r="S76" s="57"/>
      <c r="T76" s="57"/>
      <c r="AM76" s="60"/>
      <c r="AN76" s="60"/>
      <c r="AO76" s="60"/>
      <c r="AP76" s="60"/>
      <c r="AQ76" s="60"/>
      <c r="AR76" s="60"/>
      <c r="AS76" s="60"/>
      <c r="AT76" s="60"/>
      <c r="AU76" s="60"/>
      <c r="AV76" s="60"/>
    </row>
    <row r="77" ht="15.75" customHeight="1">
      <c r="A77" s="61" t="s">
        <v>170</v>
      </c>
      <c r="B77" s="62" t="s">
        <v>184</v>
      </c>
      <c r="C77" s="61" t="s">
        <v>48</v>
      </c>
      <c r="D77" s="61" t="s">
        <v>179</v>
      </c>
      <c r="E77" s="62" t="s">
        <v>72</v>
      </c>
      <c r="F77" s="241" t="s">
        <v>544</v>
      </c>
      <c r="G77" s="63" t="s">
        <v>545</v>
      </c>
      <c r="H77" s="242" t="s">
        <v>609</v>
      </c>
      <c r="I77" s="68" t="s">
        <v>183</v>
      </c>
      <c r="J77" s="65">
        <v>45791.0</v>
      </c>
      <c r="K77" s="101">
        <v>46156.0</v>
      </c>
      <c r="L77" s="68" t="str">
        <f t="shared" si="2"/>
        <v>EXPIRED</v>
      </c>
      <c r="M77" s="259" t="s">
        <v>610</v>
      </c>
      <c r="N77" s="71" t="s">
        <v>184</v>
      </c>
      <c r="O77" s="71" t="s">
        <v>185</v>
      </c>
      <c r="P77" s="142" t="s">
        <v>184</v>
      </c>
      <c r="Q77" s="72"/>
      <c r="R77" s="72"/>
      <c r="S77" s="72"/>
      <c r="T77" s="72"/>
      <c r="AM77" s="60"/>
      <c r="AN77" s="60"/>
      <c r="AO77" s="60"/>
      <c r="AP77" s="60"/>
      <c r="AQ77" s="60"/>
      <c r="AR77" s="60"/>
      <c r="AS77" s="60"/>
      <c r="AT77" s="60"/>
      <c r="AU77" s="60"/>
      <c r="AV77" s="60"/>
    </row>
    <row r="78" ht="15.75" customHeight="1">
      <c r="A78" s="30" t="s">
        <v>170</v>
      </c>
      <c r="B78" s="33" t="s">
        <v>611</v>
      </c>
      <c r="C78" s="30" t="s">
        <v>48</v>
      </c>
      <c r="D78" s="30" t="s">
        <v>179</v>
      </c>
      <c r="E78" s="33" t="s">
        <v>72</v>
      </c>
      <c r="F78" s="89" t="s">
        <v>172</v>
      </c>
      <c r="G78" s="34" t="s">
        <v>173</v>
      </c>
      <c r="H78" s="90" t="s">
        <v>612</v>
      </c>
      <c r="I78" s="91" t="s">
        <v>83</v>
      </c>
      <c r="J78" s="38">
        <v>45737.0</v>
      </c>
      <c r="K78" s="38">
        <v>46102.0</v>
      </c>
      <c r="L78" s="47" t="str">
        <f t="shared" si="2"/>
        <v>EXPIRED</v>
      </c>
      <c r="M78" s="47"/>
      <c r="N78" s="54" t="s">
        <v>171</v>
      </c>
      <c r="O78" s="54" t="s">
        <v>176</v>
      </c>
      <c r="P78" s="110" t="s">
        <v>171</v>
      </c>
      <c r="Q78" s="57"/>
      <c r="R78" s="57"/>
      <c r="S78" s="57"/>
      <c r="T78" s="57"/>
      <c r="AM78" s="60"/>
      <c r="AN78" s="60"/>
      <c r="AO78" s="60"/>
      <c r="AP78" s="60"/>
      <c r="AQ78" s="60"/>
      <c r="AR78" s="60"/>
      <c r="AS78" s="60"/>
      <c r="AT78" s="60"/>
      <c r="AU78" s="60"/>
      <c r="AV78" s="60"/>
    </row>
    <row r="79" ht="15.0" customHeight="1">
      <c r="A79" s="61" t="s">
        <v>170</v>
      </c>
      <c r="B79" s="62" t="s">
        <v>236</v>
      </c>
      <c r="C79" s="61" t="s">
        <v>48</v>
      </c>
      <c r="D79" s="61" t="s">
        <v>179</v>
      </c>
      <c r="E79" s="62" t="s">
        <v>72</v>
      </c>
      <c r="F79" s="99" t="s">
        <v>237</v>
      </c>
      <c r="G79" s="63" t="s">
        <v>238</v>
      </c>
      <c r="H79" s="85" t="s">
        <v>614</v>
      </c>
      <c r="I79" s="86" t="s">
        <v>83</v>
      </c>
      <c r="J79" s="65">
        <v>45818.0</v>
      </c>
      <c r="K79" s="101">
        <v>46183.0</v>
      </c>
      <c r="L79" s="68" t="str">
        <f t="shared" si="2"/>
        <v>EXPIRED</v>
      </c>
      <c r="M79" s="259" t="s">
        <v>615</v>
      </c>
      <c r="N79" s="71" t="s">
        <v>246</v>
      </c>
      <c r="O79" s="71" t="s">
        <v>247</v>
      </c>
      <c r="P79" s="142" t="s">
        <v>236</v>
      </c>
      <c r="Q79" s="72"/>
      <c r="R79" s="72"/>
      <c r="S79" s="72"/>
      <c r="T79" s="72"/>
      <c r="AM79" s="60"/>
      <c r="AN79" s="60"/>
      <c r="AO79" s="60"/>
      <c r="AP79" s="60"/>
      <c r="AQ79" s="60"/>
      <c r="AR79" s="60"/>
      <c r="AS79" s="60"/>
      <c r="AT79" s="60"/>
      <c r="AU79" s="60"/>
      <c r="AV79" s="60"/>
    </row>
    <row r="80" ht="15.75" customHeight="1">
      <c r="A80" s="30" t="s">
        <v>67</v>
      </c>
      <c r="B80" s="33" t="s">
        <v>616</v>
      </c>
      <c r="C80" s="30" t="s">
        <v>48</v>
      </c>
      <c r="D80" s="30" t="s">
        <v>120</v>
      </c>
      <c r="E80" s="33" t="s">
        <v>403</v>
      </c>
      <c r="F80" s="217" t="s">
        <v>404</v>
      </c>
      <c r="G80" s="34" t="s">
        <v>406</v>
      </c>
      <c r="H80" s="90" t="s">
        <v>407</v>
      </c>
      <c r="I80" s="91" t="s">
        <v>183</v>
      </c>
      <c r="J80" s="38">
        <v>45805.0</v>
      </c>
      <c r="K80" s="92">
        <v>46170.0</v>
      </c>
      <c r="L80" s="47" t="str">
        <f t="shared" si="2"/>
        <v>EXPIRED</v>
      </c>
      <c r="M80" s="196" t="s">
        <v>617</v>
      </c>
      <c r="N80" s="261" t="s">
        <v>618</v>
      </c>
      <c r="O80" s="57"/>
      <c r="P80" s="57"/>
      <c r="Q80" s="57"/>
      <c r="R80" s="57"/>
      <c r="S80" s="57"/>
      <c r="T80" s="57"/>
      <c r="AM80" s="60"/>
      <c r="AN80" s="60"/>
      <c r="AO80" s="60"/>
      <c r="AP80" s="60"/>
      <c r="AQ80" s="60"/>
      <c r="AR80" s="60"/>
      <c r="AS80" s="60"/>
      <c r="AT80" s="60"/>
      <c r="AU80" s="60"/>
      <c r="AV80" s="60"/>
    </row>
    <row r="81" ht="15.75" customHeight="1">
      <c r="A81" s="61" t="s">
        <v>67</v>
      </c>
      <c r="B81" s="62" t="s">
        <v>100</v>
      </c>
      <c r="C81" s="61" t="s">
        <v>48</v>
      </c>
      <c r="D81" s="61" t="s">
        <v>120</v>
      </c>
      <c r="E81" s="62" t="s">
        <v>72</v>
      </c>
      <c r="F81" s="99" t="s">
        <v>321</v>
      </c>
      <c r="G81" s="63" t="s">
        <v>322</v>
      </c>
      <c r="H81" s="85"/>
      <c r="I81" s="86" t="s">
        <v>158</v>
      </c>
      <c r="J81" s="65">
        <v>45579.0</v>
      </c>
      <c r="K81" s="101">
        <v>45944.0</v>
      </c>
      <c r="L81" s="68" t="str">
        <f t="shared" si="2"/>
        <v>EXPIRED</v>
      </c>
      <c r="M81" s="102" t="s">
        <v>101</v>
      </c>
      <c r="N81" s="81" t="s">
        <v>100</v>
      </c>
      <c r="O81" s="71" t="s">
        <v>102</v>
      </c>
      <c r="P81" s="142" t="s">
        <v>100</v>
      </c>
      <c r="Q81" s="72"/>
      <c r="R81" s="72"/>
      <c r="S81" s="72"/>
      <c r="T81" s="72"/>
      <c r="AM81" s="60"/>
      <c r="AN81" s="60"/>
      <c r="AO81" s="60"/>
      <c r="AP81" s="60"/>
      <c r="AQ81" s="60"/>
      <c r="AR81" s="60"/>
      <c r="AS81" s="60"/>
      <c r="AT81" s="60"/>
      <c r="AU81" s="60"/>
      <c r="AV81" s="60"/>
    </row>
    <row r="82" ht="15.75" customHeight="1">
      <c r="A82" s="30" t="s">
        <v>67</v>
      </c>
      <c r="B82" s="33" t="s">
        <v>108</v>
      </c>
      <c r="C82" s="30" t="s">
        <v>104</v>
      </c>
      <c r="D82" s="30" t="s">
        <v>105</v>
      </c>
      <c r="E82" s="33" t="s">
        <v>51</v>
      </c>
      <c r="F82" s="89" t="s">
        <v>111</v>
      </c>
      <c r="G82" s="34" t="s">
        <v>620</v>
      </c>
      <c r="H82" s="191" t="s">
        <v>621</v>
      </c>
      <c r="I82" s="30" t="s">
        <v>83</v>
      </c>
      <c r="J82" s="38">
        <v>45456.0</v>
      </c>
      <c r="K82" s="38">
        <v>45821.0</v>
      </c>
      <c r="L82" s="47" t="str">
        <f t="shared" si="2"/>
        <v>INACTIVE</v>
      </c>
      <c r="M82" s="220" t="s">
        <v>116</v>
      </c>
      <c r="N82" s="54" t="s">
        <v>108</v>
      </c>
      <c r="O82" s="49" t="s">
        <v>117</v>
      </c>
      <c r="P82" s="33"/>
      <c r="Q82" s="57"/>
      <c r="R82" s="57"/>
      <c r="S82" s="57"/>
      <c r="T82" s="57"/>
      <c r="AM82" s="60"/>
      <c r="AN82" s="60"/>
      <c r="AO82" s="60"/>
      <c r="AP82" s="60"/>
      <c r="AQ82" s="60"/>
      <c r="AR82" s="60"/>
      <c r="AS82" s="60"/>
      <c r="AT82" s="60"/>
      <c r="AU82" s="60"/>
      <c r="AV82" s="60"/>
    </row>
    <row r="83" ht="15.75" customHeight="1">
      <c r="A83" s="61" t="s">
        <v>67</v>
      </c>
      <c r="B83" s="62" t="s">
        <v>149</v>
      </c>
      <c r="C83" s="61" t="s">
        <v>48</v>
      </c>
      <c r="D83" s="61" t="s">
        <v>179</v>
      </c>
      <c r="E83" s="62" t="s">
        <v>51</v>
      </c>
      <c r="F83" s="99" t="s">
        <v>150</v>
      </c>
      <c r="G83" s="63" t="s">
        <v>151</v>
      </c>
      <c r="H83" s="85" t="s">
        <v>622</v>
      </c>
      <c r="I83" s="86" t="s">
        <v>83</v>
      </c>
      <c r="J83" s="65">
        <v>45730.0</v>
      </c>
      <c r="K83" s="101">
        <v>45914.0</v>
      </c>
      <c r="L83" s="68" t="str">
        <f t="shared" si="2"/>
        <v>EXPIRED</v>
      </c>
      <c r="M83" s="102" t="s">
        <v>153</v>
      </c>
      <c r="N83" s="81" t="s">
        <v>149</v>
      </c>
      <c r="O83" s="72"/>
      <c r="P83" s="72"/>
      <c r="Q83" s="72"/>
      <c r="R83" s="72"/>
      <c r="S83" s="72"/>
      <c r="T83" s="72"/>
      <c r="AM83" s="60"/>
      <c r="AN83" s="60"/>
      <c r="AO83" s="60"/>
      <c r="AP83" s="60"/>
      <c r="AQ83" s="60"/>
      <c r="AR83" s="60"/>
      <c r="AS83" s="60"/>
      <c r="AT83" s="60"/>
      <c r="AU83" s="60"/>
      <c r="AV83" s="60"/>
    </row>
    <row r="84" ht="15.75" customHeight="1">
      <c r="A84" s="30" t="s">
        <v>67</v>
      </c>
      <c r="B84" s="33" t="s">
        <v>69</v>
      </c>
      <c r="C84" s="30" t="s">
        <v>48</v>
      </c>
      <c r="D84" s="30" t="s">
        <v>179</v>
      </c>
      <c r="E84" s="33" t="s">
        <v>72</v>
      </c>
      <c r="F84" s="89" t="s">
        <v>74</v>
      </c>
      <c r="G84" s="34" t="s">
        <v>75</v>
      </c>
      <c r="H84" s="90" t="s">
        <v>623</v>
      </c>
      <c r="I84" s="113" t="s">
        <v>83</v>
      </c>
      <c r="J84" s="38">
        <v>45758.0</v>
      </c>
      <c r="K84" s="92">
        <v>46123.0</v>
      </c>
      <c r="L84" s="47" t="str">
        <f t="shared" si="2"/>
        <v>EXPIRED</v>
      </c>
      <c r="M84" s="220" t="s">
        <v>84</v>
      </c>
      <c r="N84" s="49" t="s">
        <v>69</v>
      </c>
      <c r="O84" s="49" t="s">
        <v>85</v>
      </c>
      <c r="P84" s="263" t="s">
        <v>69</v>
      </c>
      <c r="Q84" s="57"/>
      <c r="R84" s="57"/>
      <c r="S84" s="57"/>
      <c r="T84" s="57"/>
      <c r="AM84" s="60"/>
      <c r="AN84" s="60"/>
      <c r="AO84" s="60"/>
      <c r="AP84" s="60"/>
      <c r="AQ84" s="60"/>
      <c r="AR84" s="60"/>
      <c r="AS84" s="60"/>
      <c r="AT84" s="60"/>
      <c r="AU84" s="60"/>
      <c r="AV84" s="60"/>
    </row>
    <row r="85" ht="15.75" customHeight="1">
      <c r="A85" s="61" t="s">
        <v>624</v>
      </c>
      <c r="B85" s="62" t="s">
        <v>625</v>
      </c>
      <c r="C85" s="61" t="s">
        <v>48</v>
      </c>
      <c r="D85" s="61" t="s">
        <v>120</v>
      </c>
      <c r="E85" s="62" t="s">
        <v>87</v>
      </c>
      <c r="F85" s="99" t="s">
        <v>626</v>
      </c>
      <c r="G85" s="36" t="s">
        <v>627</v>
      </c>
      <c r="H85" s="62" t="s">
        <v>628</v>
      </c>
      <c r="I85" s="86" t="s">
        <v>183</v>
      </c>
      <c r="J85" s="80"/>
      <c r="K85" s="65"/>
      <c r="L85" s="68" t="str">
        <f t="shared" si="2"/>
        <v/>
      </c>
      <c r="M85" s="68"/>
      <c r="N85" s="81" t="s">
        <v>625</v>
      </c>
      <c r="O85" s="250" t="s">
        <v>629</v>
      </c>
      <c r="P85" s="72"/>
      <c r="Q85" s="72"/>
      <c r="R85" s="72"/>
      <c r="S85" s="72"/>
      <c r="T85" s="72"/>
      <c r="AM85" s="60"/>
      <c r="AN85" s="60"/>
      <c r="AO85" s="60"/>
      <c r="AP85" s="60"/>
      <c r="AQ85" s="60"/>
      <c r="AR85" s="60"/>
      <c r="AS85" s="60"/>
      <c r="AT85" s="60"/>
      <c r="AU85" s="60"/>
      <c r="AV85" s="60"/>
    </row>
    <row r="86" ht="15.75" customHeight="1">
      <c r="A86" s="30" t="s">
        <v>624</v>
      </c>
      <c r="B86" s="33" t="s">
        <v>630</v>
      </c>
      <c r="C86" s="30" t="s">
        <v>48</v>
      </c>
      <c r="D86" s="30" t="s">
        <v>120</v>
      </c>
      <c r="E86" s="33" t="s">
        <v>72</v>
      </c>
      <c r="F86" s="89" t="s">
        <v>631</v>
      </c>
      <c r="G86" s="34" t="s">
        <v>632</v>
      </c>
      <c r="H86" s="90" t="s">
        <v>633</v>
      </c>
      <c r="I86" s="91" t="s">
        <v>83</v>
      </c>
      <c r="J86" s="38">
        <v>45505.0</v>
      </c>
      <c r="K86" s="92">
        <v>45870.0</v>
      </c>
      <c r="L86" s="47" t="str">
        <f t="shared" si="2"/>
        <v>EXPIRED</v>
      </c>
      <c r="M86" s="220" t="s">
        <v>634</v>
      </c>
      <c r="N86" s="49" t="s">
        <v>630</v>
      </c>
      <c r="O86" s="54" t="s">
        <v>635</v>
      </c>
      <c r="P86" s="57"/>
      <c r="Q86" s="57"/>
      <c r="R86" s="57"/>
      <c r="S86" s="57"/>
      <c r="T86" s="30"/>
      <c r="AM86" s="60"/>
      <c r="AN86" s="60"/>
      <c r="AO86" s="60"/>
      <c r="AP86" s="60"/>
      <c r="AQ86" s="60"/>
      <c r="AR86" s="60"/>
      <c r="AS86" s="60"/>
      <c r="AT86" s="60"/>
      <c r="AU86" s="60"/>
      <c r="AV86" s="60"/>
    </row>
    <row r="87" ht="15.75" customHeight="1">
      <c r="A87" s="61" t="s">
        <v>624</v>
      </c>
      <c r="B87" s="62" t="s">
        <v>636</v>
      </c>
      <c r="C87" s="61" t="s">
        <v>48</v>
      </c>
      <c r="D87" s="61" t="s">
        <v>120</v>
      </c>
      <c r="E87" s="62" t="s">
        <v>72</v>
      </c>
      <c r="F87" s="99" t="s">
        <v>637</v>
      </c>
      <c r="G87" s="63" t="s">
        <v>638</v>
      </c>
      <c r="H87" s="85"/>
      <c r="I87" s="86" t="s">
        <v>83</v>
      </c>
      <c r="J87" s="80"/>
      <c r="K87" s="65"/>
      <c r="L87" s="68" t="str">
        <f t="shared" si="2"/>
        <v/>
      </c>
      <c r="M87" s="68"/>
      <c r="N87" s="71" t="s">
        <v>636</v>
      </c>
      <c r="O87" s="81" t="s">
        <v>639</v>
      </c>
      <c r="P87" s="72"/>
      <c r="Q87" s="72"/>
      <c r="R87" s="72"/>
      <c r="S87" s="72"/>
      <c r="T87" s="72"/>
      <c r="AM87" s="60"/>
      <c r="AN87" s="60"/>
      <c r="AO87" s="60"/>
      <c r="AP87" s="60"/>
      <c r="AQ87" s="60"/>
      <c r="AR87" s="60"/>
      <c r="AS87" s="60"/>
      <c r="AT87" s="60"/>
      <c r="AU87" s="60"/>
      <c r="AV87" s="60"/>
    </row>
    <row r="88" ht="15.75" customHeight="1">
      <c r="A88" s="30" t="s">
        <v>624</v>
      </c>
      <c r="B88" s="33" t="s">
        <v>640</v>
      </c>
      <c r="C88" s="30" t="s">
        <v>48</v>
      </c>
      <c r="D88" s="30" t="s">
        <v>50</v>
      </c>
      <c r="E88" s="33" t="s">
        <v>72</v>
      </c>
      <c r="F88" s="89" t="s">
        <v>641</v>
      </c>
      <c r="G88" s="34" t="s">
        <v>642</v>
      </c>
      <c r="H88" s="33" t="s">
        <v>642</v>
      </c>
      <c r="I88" s="35" t="s">
        <v>58</v>
      </c>
      <c r="J88" s="114"/>
      <c r="K88" s="38"/>
      <c r="L88" s="47" t="str">
        <f t="shared" si="2"/>
        <v/>
      </c>
      <c r="M88" s="252"/>
      <c r="N88" s="49" t="s">
        <v>640</v>
      </c>
      <c r="O88" s="49" t="s">
        <v>643</v>
      </c>
      <c r="P88" s="57"/>
      <c r="Q88" s="57"/>
      <c r="R88" s="57"/>
      <c r="S88" s="57"/>
      <c r="T88" s="57"/>
      <c r="AM88" s="60"/>
      <c r="AN88" s="60"/>
      <c r="AO88" s="60"/>
      <c r="AP88" s="60"/>
      <c r="AQ88" s="60"/>
      <c r="AR88" s="60"/>
      <c r="AS88" s="60"/>
      <c r="AT88" s="60"/>
      <c r="AU88" s="60"/>
      <c r="AV88" s="60"/>
    </row>
    <row r="89" ht="15.75" customHeight="1">
      <c r="A89" s="61" t="s">
        <v>624</v>
      </c>
      <c r="B89" s="62" t="s">
        <v>644</v>
      </c>
      <c r="C89" s="61" t="s">
        <v>104</v>
      </c>
      <c r="D89" s="61" t="s">
        <v>105</v>
      </c>
      <c r="E89" s="62" t="s">
        <v>72</v>
      </c>
      <c r="F89" s="62" t="s">
        <v>645</v>
      </c>
      <c r="G89" s="63" t="s">
        <v>646</v>
      </c>
      <c r="H89" s="85" t="s">
        <v>647</v>
      </c>
      <c r="I89" s="64"/>
      <c r="J89" s="65"/>
      <c r="K89" s="65"/>
      <c r="L89" s="68" t="str">
        <f t="shared" si="2"/>
        <v>INACTIVE</v>
      </c>
      <c r="M89" s="102" t="s">
        <v>648</v>
      </c>
      <c r="N89" s="81" t="s">
        <v>644</v>
      </c>
      <c r="O89" s="72"/>
      <c r="P89" s="72"/>
      <c r="Q89" s="72"/>
      <c r="R89" s="72"/>
      <c r="S89" s="72"/>
      <c r="T89" s="72"/>
      <c r="AM89" s="60"/>
      <c r="AN89" s="60"/>
      <c r="AO89" s="60"/>
      <c r="AP89" s="60"/>
      <c r="AQ89" s="60"/>
      <c r="AR89" s="60"/>
      <c r="AS89" s="60"/>
      <c r="AT89" s="60"/>
      <c r="AU89" s="60"/>
      <c r="AV89" s="60"/>
    </row>
    <row r="90" ht="15.75" customHeight="1">
      <c r="A90" s="30" t="s">
        <v>624</v>
      </c>
      <c r="B90" s="33" t="s">
        <v>651</v>
      </c>
      <c r="C90" s="30" t="s">
        <v>104</v>
      </c>
      <c r="D90" s="30" t="s">
        <v>105</v>
      </c>
      <c r="E90" s="33" t="s">
        <v>72</v>
      </c>
      <c r="F90" s="89" t="s">
        <v>652</v>
      </c>
      <c r="G90" s="34" t="s">
        <v>653</v>
      </c>
      <c r="H90" s="90" t="s">
        <v>654</v>
      </c>
      <c r="I90" s="35" t="s">
        <v>83</v>
      </c>
      <c r="J90" s="38">
        <v>45581.0</v>
      </c>
      <c r="K90" s="38">
        <v>45763.0</v>
      </c>
      <c r="L90" s="47" t="str">
        <f t="shared" si="2"/>
        <v>INACTIVE</v>
      </c>
      <c r="M90" s="220" t="s">
        <v>655</v>
      </c>
      <c r="N90" s="49" t="s">
        <v>651</v>
      </c>
      <c r="O90" s="49" t="s">
        <v>656</v>
      </c>
      <c r="P90" s="57"/>
      <c r="Q90" s="57"/>
      <c r="R90" s="57"/>
      <c r="S90" s="57"/>
      <c r="T90" s="57"/>
      <c r="AM90" s="60"/>
      <c r="AN90" s="60"/>
      <c r="AO90" s="60"/>
      <c r="AP90" s="60"/>
      <c r="AQ90" s="60"/>
      <c r="AR90" s="60"/>
      <c r="AS90" s="60"/>
      <c r="AT90" s="60"/>
      <c r="AU90" s="60"/>
      <c r="AV90" s="60"/>
    </row>
    <row r="91" ht="15.75" customHeight="1">
      <c r="A91" s="61" t="s">
        <v>624</v>
      </c>
      <c r="B91" s="62" t="s">
        <v>657</v>
      </c>
      <c r="C91" s="61" t="s">
        <v>48</v>
      </c>
      <c r="D91" s="61" t="s">
        <v>110</v>
      </c>
      <c r="E91" s="62" t="s">
        <v>72</v>
      </c>
      <c r="F91" s="99" t="s">
        <v>658</v>
      </c>
      <c r="G91" s="63" t="s">
        <v>659</v>
      </c>
      <c r="H91" s="85"/>
      <c r="I91" s="86" t="s">
        <v>83</v>
      </c>
      <c r="J91" s="65">
        <v>45502.0</v>
      </c>
      <c r="K91" s="65">
        <v>45867.0</v>
      </c>
      <c r="L91" s="68" t="str">
        <f t="shared" si="2"/>
        <v>EXPIRED</v>
      </c>
      <c r="M91" s="68"/>
      <c r="N91" s="81" t="s">
        <v>657</v>
      </c>
      <c r="O91" s="250" t="s">
        <v>661</v>
      </c>
      <c r="P91" s="72"/>
      <c r="Q91" s="72"/>
      <c r="R91" s="72"/>
      <c r="S91" s="72"/>
      <c r="T91" s="72"/>
      <c r="AM91" s="60"/>
      <c r="AN91" s="60"/>
      <c r="AO91" s="60"/>
      <c r="AP91" s="60"/>
      <c r="AQ91" s="60"/>
      <c r="AR91" s="60"/>
      <c r="AS91" s="60"/>
      <c r="AT91" s="60"/>
      <c r="AU91" s="60"/>
      <c r="AV91" s="60"/>
    </row>
    <row r="92" ht="15.75" customHeight="1">
      <c r="A92" s="30" t="s">
        <v>624</v>
      </c>
      <c r="B92" s="33" t="s">
        <v>662</v>
      </c>
      <c r="C92" s="30" t="s">
        <v>48</v>
      </c>
      <c r="D92" s="30" t="s">
        <v>110</v>
      </c>
      <c r="E92" s="33" t="s">
        <v>72</v>
      </c>
      <c r="F92" s="33" t="s">
        <v>663</v>
      </c>
      <c r="G92" s="34" t="s">
        <v>664</v>
      </c>
      <c r="H92" s="90" t="s">
        <v>665</v>
      </c>
      <c r="I92" s="91" t="s">
        <v>83</v>
      </c>
      <c r="J92" s="38">
        <v>45688.0</v>
      </c>
      <c r="K92" s="38">
        <v>46053.0</v>
      </c>
      <c r="L92" s="47" t="str">
        <f t="shared" si="2"/>
        <v>EXPIRED</v>
      </c>
      <c r="M92" s="47"/>
      <c r="N92" s="49" t="s">
        <v>662</v>
      </c>
      <c r="O92" s="49" t="s">
        <v>666</v>
      </c>
      <c r="P92" s="57"/>
      <c r="Q92" s="57"/>
      <c r="R92" s="57"/>
      <c r="S92" s="57"/>
      <c r="T92" s="57"/>
      <c r="AM92" s="60"/>
      <c r="AN92" s="60"/>
      <c r="AO92" s="60"/>
      <c r="AP92" s="60"/>
      <c r="AQ92" s="60"/>
      <c r="AR92" s="60"/>
      <c r="AS92" s="60"/>
      <c r="AT92" s="60"/>
      <c r="AU92" s="60"/>
      <c r="AV92" s="60"/>
    </row>
    <row r="93" ht="15.75" customHeight="1">
      <c r="A93" s="61" t="s">
        <v>624</v>
      </c>
      <c r="B93" s="62" t="s">
        <v>480</v>
      </c>
      <c r="C93" s="61" t="s">
        <v>48</v>
      </c>
      <c r="D93" s="61" t="s">
        <v>179</v>
      </c>
      <c r="E93" s="62" t="s">
        <v>72</v>
      </c>
      <c r="F93" s="99" t="s">
        <v>669</v>
      </c>
      <c r="G93" s="63" t="s">
        <v>670</v>
      </c>
      <c r="H93" s="85" t="s">
        <v>671</v>
      </c>
      <c r="I93" s="251" t="s">
        <v>183</v>
      </c>
      <c r="J93" s="65">
        <v>45708.0</v>
      </c>
      <c r="K93" s="101">
        <v>46073.0</v>
      </c>
      <c r="L93" s="68" t="str">
        <f t="shared" si="2"/>
        <v>EXPIRED</v>
      </c>
      <c r="M93" s="102" t="s">
        <v>482</v>
      </c>
      <c r="N93" s="81" t="s">
        <v>480</v>
      </c>
      <c r="O93" s="71" t="s">
        <v>672</v>
      </c>
      <c r="P93" s="72"/>
      <c r="Q93" s="72"/>
      <c r="R93" s="72"/>
      <c r="S93" s="72"/>
      <c r="T93" s="72"/>
      <c r="AM93" s="60"/>
      <c r="AN93" s="60"/>
      <c r="AO93" s="60"/>
      <c r="AP93" s="60"/>
      <c r="AQ93" s="60"/>
      <c r="AR93" s="60"/>
      <c r="AS93" s="60"/>
      <c r="AT93" s="60"/>
      <c r="AU93" s="60"/>
      <c r="AV93" s="60"/>
    </row>
    <row r="94" ht="15.75" customHeight="1">
      <c r="A94" s="30" t="s">
        <v>624</v>
      </c>
      <c r="B94" s="33" t="s">
        <v>673</v>
      </c>
      <c r="C94" s="30" t="s">
        <v>48</v>
      </c>
      <c r="D94" s="30" t="s">
        <v>179</v>
      </c>
      <c r="E94" s="33" t="s">
        <v>72</v>
      </c>
      <c r="F94" s="89" t="s">
        <v>490</v>
      </c>
      <c r="G94" s="34" t="s">
        <v>674</v>
      </c>
      <c r="H94" s="90" t="s">
        <v>675</v>
      </c>
      <c r="I94" s="91" t="s">
        <v>83</v>
      </c>
      <c r="J94" s="38">
        <v>45751.0</v>
      </c>
      <c r="K94" s="92">
        <v>45934.0</v>
      </c>
      <c r="L94" s="47" t="str">
        <f t="shared" si="2"/>
        <v>EXPIRED</v>
      </c>
      <c r="M94" s="220" t="s">
        <v>492</v>
      </c>
      <c r="N94" s="49" t="s">
        <v>673</v>
      </c>
      <c r="O94" s="49" t="s">
        <v>676</v>
      </c>
      <c r="P94" s="57"/>
      <c r="Q94" s="57"/>
      <c r="R94" s="57"/>
      <c r="S94" s="57"/>
      <c r="T94" s="57"/>
      <c r="U94" s="266"/>
      <c r="V94" s="266"/>
      <c r="W94" s="266"/>
      <c r="X94" s="266"/>
      <c r="Y94" s="266"/>
      <c r="Z94" s="266"/>
      <c r="AA94" s="266"/>
      <c r="AB94" s="266"/>
      <c r="AC94" s="266"/>
      <c r="AD94" s="266"/>
      <c r="AE94" s="266"/>
      <c r="AF94" s="266"/>
      <c r="AG94" s="266"/>
      <c r="AH94" s="266"/>
      <c r="AI94" s="266"/>
      <c r="AJ94" s="266"/>
      <c r="AK94" s="266"/>
      <c r="AL94" s="266"/>
      <c r="AM94" s="267"/>
      <c r="AN94" s="267"/>
      <c r="AO94" s="267"/>
      <c r="AP94" s="267"/>
      <c r="AQ94" s="267"/>
      <c r="AR94" s="267"/>
      <c r="AS94" s="267"/>
      <c r="AT94" s="267"/>
      <c r="AU94" s="267"/>
      <c r="AV94" s="267"/>
    </row>
    <row r="95" ht="15.75" customHeight="1">
      <c r="A95" s="61" t="s">
        <v>624</v>
      </c>
      <c r="B95" s="62" t="s">
        <v>678</v>
      </c>
      <c r="C95" s="61" t="s">
        <v>48</v>
      </c>
      <c r="D95" s="61" t="s">
        <v>179</v>
      </c>
      <c r="E95" s="62" t="s">
        <v>72</v>
      </c>
      <c r="F95" s="99" t="s">
        <v>679</v>
      </c>
      <c r="G95" s="63" t="s">
        <v>680</v>
      </c>
      <c r="H95" s="85" t="s">
        <v>681</v>
      </c>
      <c r="I95" s="86" t="s">
        <v>83</v>
      </c>
      <c r="J95" s="65">
        <v>45593.0</v>
      </c>
      <c r="K95" s="101">
        <v>45958.0</v>
      </c>
      <c r="L95" s="68" t="str">
        <f t="shared" si="2"/>
        <v>EXPIRED</v>
      </c>
      <c r="M95" s="102" t="s">
        <v>682</v>
      </c>
      <c r="N95" s="81" t="s">
        <v>678</v>
      </c>
      <c r="O95" s="81" t="s">
        <v>683</v>
      </c>
      <c r="P95" s="72"/>
      <c r="Q95" s="72"/>
      <c r="R95" s="72"/>
      <c r="S95" s="72"/>
      <c r="T95" s="72"/>
      <c r="AM95" s="60"/>
      <c r="AN95" s="60"/>
      <c r="AO95" s="60"/>
      <c r="AP95" s="60"/>
      <c r="AQ95" s="60"/>
      <c r="AR95" s="60"/>
      <c r="AS95" s="60"/>
      <c r="AT95" s="60"/>
      <c r="AU95" s="60"/>
      <c r="AV95" s="60"/>
    </row>
    <row r="96" ht="15.75" customHeight="1">
      <c r="A96" s="30" t="s">
        <v>624</v>
      </c>
      <c r="B96" s="33" t="s">
        <v>483</v>
      </c>
      <c r="C96" s="30" t="s">
        <v>48</v>
      </c>
      <c r="D96" s="30" t="s">
        <v>179</v>
      </c>
      <c r="E96" s="33" t="s">
        <v>72</v>
      </c>
      <c r="F96" s="89" t="s">
        <v>686</v>
      </c>
      <c r="G96" s="34" t="s">
        <v>687</v>
      </c>
      <c r="H96" s="191" t="s">
        <v>688</v>
      </c>
      <c r="I96" s="91" t="s">
        <v>83</v>
      </c>
      <c r="J96" s="38">
        <v>45754.0</v>
      </c>
      <c r="K96" s="92">
        <v>45907.0</v>
      </c>
      <c r="L96" s="47" t="str">
        <f t="shared" si="2"/>
        <v>EXPIRED</v>
      </c>
      <c r="M96" s="196" t="s">
        <v>690</v>
      </c>
      <c r="N96" s="49" t="s">
        <v>483</v>
      </c>
      <c r="O96" s="49" t="s">
        <v>691</v>
      </c>
      <c r="P96" s="57"/>
      <c r="Q96" s="57"/>
      <c r="R96" s="57"/>
      <c r="S96" s="57"/>
      <c r="T96" s="57"/>
      <c r="AM96" s="60"/>
      <c r="AN96" s="60"/>
      <c r="AO96" s="60"/>
      <c r="AP96" s="60"/>
      <c r="AQ96" s="60"/>
      <c r="AR96" s="60"/>
      <c r="AS96" s="60"/>
      <c r="AT96" s="60"/>
      <c r="AU96" s="60"/>
      <c r="AV96" s="60"/>
    </row>
    <row r="97" ht="15.75" customHeight="1">
      <c r="A97" s="61" t="s">
        <v>43</v>
      </c>
      <c r="B97" s="62" t="s">
        <v>561</v>
      </c>
      <c r="C97" s="61" t="s">
        <v>48</v>
      </c>
      <c r="D97" s="61" t="s">
        <v>120</v>
      </c>
      <c r="E97" s="62" t="s">
        <v>403</v>
      </c>
      <c r="F97" s="99" t="s">
        <v>692</v>
      </c>
      <c r="G97" s="63" t="s">
        <v>693</v>
      </c>
      <c r="H97" s="85" t="s">
        <v>694</v>
      </c>
      <c r="I97" s="86" t="s">
        <v>183</v>
      </c>
      <c r="J97" s="65">
        <v>45809.0</v>
      </c>
      <c r="K97" s="101">
        <v>46174.0</v>
      </c>
      <c r="L97" s="68" t="str">
        <f t="shared" si="2"/>
        <v>EXPIRED</v>
      </c>
      <c r="M97" s="259" t="s">
        <v>695</v>
      </c>
      <c r="N97" s="71" t="s">
        <v>561</v>
      </c>
      <c r="O97" s="71" t="s">
        <v>563</v>
      </c>
      <c r="P97" s="142" t="s">
        <v>561</v>
      </c>
      <c r="Q97" s="72"/>
      <c r="R97" s="72"/>
      <c r="S97" s="72"/>
      <c r="T97" s="72"/>
      <c r="AM97" s="60"/>
      <c r="AN97" s="60"/>
      <c r="AO97" s="60"/>
      <c r="AP97" s="60"/>
      <c r="AQ97" s="60"/>
      <c r="AR97" s="60"/>
      <c r="AS97" s="60"/>
      <c r="AT97" s="60"/>
      <c r="AU97" s="60"/>
      <c r="AV97" s="60"/>
    </row>
    <row r="98">
      <c r="A98" s="30" t="s">
        <v>43</v>
      </c>
      <c r="B98" s="33" t="s">
        <v>585</v>
      </c>
      <c r="C98" s="30" t="s">
        <v>48</v>
      </c>
      <c r="D98" s="30" t="s">
        <v>120</v>
      </c>
      <c r="E98" s="33" t="s">
        <v>72</v>
      </c>
      <c r="F98" s="268" t="s">
        <v>161</v>
      </c>
      <c r="G98" s="34" t="s">
        <v>162</v>
      </c>
      <c r="H98" s="90"/>
      <c r="I98" s="91" t="s">
        <v>83</v>
      </c>
      <c r="J98" s="38">
        <v>45495.0</v>
      </c>
      <c r="K98" s="92">
        <v>45860.0</v>
      </c>
      <c r="L98" s="47" t="str">
        <f t="shared" si="2"/>
        <v>EXPIRED</v>
      </c>
      <c r="M98" s="220" t="s">
        <v>594</v>
      </c>
      <c r="N98" s="49" t="s">
        <v>585</v>
      </c>
      <c r="O98" s="54" t="s">
        <v>600</v>
      </c>
      <c r="P98" s="110" t="s">
        <v>585</v>
      </c>
      <c r="Q98" s="57"/>
      <c r="R98" s="57"/>
      <c r="S98" s="57"/>
      <c r="T98" s="57"/>
      <c r="AM98" s="60"/>
      <c r="AN98" s="60"/>
      <c r="AO98" s="60"/>
      <c r="AP98" s="60"/>
      <c r="AQ98" s="60"/>
      <c r="AR98" s="60"/>
      <c r="AS98" s="60"/>
      <c r="AT98" s="60"/>
      <c r="AU98" s="60"/>
      <c r="AV98" s="60"/>
    </row>
    <row r="99" ht="15.75" customHeight="1">
      <c r="A99" s="61" t="s">
        <v>43</v>
      </c>
      <c r="B99" s="62" t="s">
        <v>699</v>
      </c>
      <c r="C99" s="61" t="s">
        <v>48</v>
      </c>
      <c r="D99" s="61" t="s">
        <v>179</v>
      </c>
      <c r="E99" s="62" t="s">
        <v>87</v>
      </c>
      <c r="F99" s="99" t="s">
        <v>700</v>
      </c>
      <c r="G99" s="63" t="s">
        <v>701</v>
      </c>
      <c r="H99" s="85" t="s">
        <v>702</v>
      </c>
      <c r="I99" s="86" t="s">
        <v>183</v>
      </c>
      <c r="J99" s="65">
        <v>45810.0</v>
      </c>
      <c r="K99" s="101">
        <v>45967.0</v>
      </c>
      <c r="L99" s="68" t="str">
        <f t="shared" si="2"/>
        <v>EXPIRED</v>
      </c>
      <c r="M99" s="259" t="s">
        <v>703</v>
      </c>
      <c r="N99" s="198"/>
      <c r="O99" s="72"/>
      <c r="P99" s="64"/>
      <c r="Q99" s="72"/>
      <c r="R99" s="72"/>
      <c r="S99" s="72"/>
      <c r="T99" s="72"/>
      <c r="AM99" s="60"/>
      <c r="AN99" s="60"/>
      <c r="AO99" s="60"/>
      <c r="AP99" s="60"/>
      <c r="AQ99" s="60"/>
      <c r="AR99" s="60"/>
      <c r="AS99" s="60"/>
      <c r="AT99" s="60"/>
      <c r="AU99" s="60"/>
      <c r="AV99" s="60"/>
    </row>
    <row r="100" ht="15.75" customHeight="1">
      <c r="A100" s="30" t="s">
        <v>43</v>
      </c>
      <c r="B100" s="33" t="s">
        <v>573</v>
      </c>
      <c r="C100" s="30" t="s">
        <v>48</v>
      </c>
      <c r="D100" s="30" t="s">
        <v>179</v>
      </c>
      <c r="E100" s="33" t="s">
        <v>72</v>
      </c>
      <c r="F100" s="89" t="s">
        <v>704</v>
      </c>
      <c r="G100" s="34" t="s">
        <v>188</v>
      </c>
      <c r="H100" s="191" t="s">
        <v>189</v>
      </c>
      <c r="I100" s="91" t="s">
        <v>158</v>
      </c>
      <c r="J100" s="38">
        <v>45474.0</v>
      </c>
      <c r="K100" s="92">
        <v>45839.0</v>
      </c>
      <c r="L100" s="47" t="str">
        <f t="shared" si="2"/>
        <v>EXPIRED</v>
      </c>
      <c r="M100" s="220" t="s">
        <v>576</v>
      </c>
      <c r="N100" s="49" t="s">
        <v>573</v>
      </c>
      <c r="O100" s="54" t="s">
        <v>578</v>
      </c>
      <c r="P100" s="110" t="s">
        <v>573</v>
      </c>
      <c r="Q100" s="57"/>
      <c r="R100" s="57"/>
      <c r="S100" s="57"/>
      <c r="T100" s="57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</row>
    <row r="101" ht="15.75" customHeight="1">
      <c r="A101" s="61" t="s">
        <v>52</v>
      </c>
      <c r="B101" s="239" t="s">
        <v>705</v>
      </c>
      <c r="C101" s="61" t="s">
        <v>422</v>
      </c>
      <c r="D101" s="61" t="s">
        <v>120</v>
      </c>
      <c r="E101" s="62" t="s">
        <v>72</v>
      </c>
      <c r="F101" s="62" t="s">
        <v>505</v>
      </c>
      <c r="G101" s="63" t="s">
        <v>706</v>
      </c>
      <c r="H101" s="85" t="s">
        <v>707</v>
      </c>
      <c r="I101" s="86" t="s">
        <v>83</v>
      </c>
      <c r="J101" s="269"/>
      <c r="K101" s="270"/>
      <c r="L101" s="68" t="str">
        <f t="shared" si="2"/>
        <v>IN PROGRESS</v>
      </c>
      <c r="M101" s="68"/>
      <c r="N101" s="72"/>
      <c r="O101" s="72"/>
      <c r="P101" s="72"/>
      <c r="Q101" s="72"/>
      <c r="R101" s="72"/>
      <c r="S101" s="72"/>
      <c r="T101" s="72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</row>
    <row r="102" ht="15.75" customHeight="1">
      <c r="A102" s="30" t="s">
        <v>52</v>
      </c>
      <c r="B102" s="249" t="s">
        <v>708</v>
      </c>
      <c r="C102" s="30" t="s">
        <v>422</v>
      </c>
      <c r="D102" s="30" t="s">
        <v>120</v>
      </c>
      <c r="E102" s="33" t="s">
        <v>72</v>
      </c>
      <c r="F102" s="33" t="s">
        <v>505</v>
      </c>
      <c r="G102" s="34" t="s">
        <v>706</v>
      </c>
      <c r="H102" s="90" t="s">
        <v>707</v>
      </c>
      <c r="I102" s="91" t="s">
        <v>83</v>
      </c>
      <c r="J102" s="271"/>
      <c r="K102" s="272"/>
      <c r="L102" s="47" t="str">
        <f t="shared" si="2"/>
        <v>IN PROGRESS</v>
      </c>
      <c r="M102" s="47"/>
      <c r="N102" s="57"/>
      <c r="O102" s="57"/>
      <c r="P102" s="57"/>
      <c r="Q102" s="57"/>
      <c r="R102" s="57"/>
      <c r="S102" s="57"/>
      <c r="T102" s="57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</row>
    <row r="103" ht="15.75" customHeight="1">
      <c r="A103" s="61" t="s">
        <v>52</v>
      </c>
      <c r="B103" s="239" t="s">
        <v>709</v>
      </c>
      <c r="C103" s="61" t="s">
        <v>422</v>
      </c>
      <c r="D103" s="61" t="s">
        <v>120</v>
      </c>
      <c r="E103" s="62" t="s">
        <v>72</v>
      </c>
      <c r="F103" s="62" t="s">
        <v>505</v>
      </c>
      <c r="G103" s="63" t="s">
        <v>706</v>
      </c>
      <c r="H103" s="85" t="s">
        <v>707</v>
      </c>
      <c r="I103" s="86" t="s">
        <v>83</v>
      </c>
      <c r="J103" s="269"/>
      <c r="K103" s="270"/>
      <c r="L103" s="68" t="str">
        <f t="shared" si="2"/>
        <v>IN PROGRESS</v>
      </c>
      <c r="M103" s="68"/>
      <c r="N103" s="72"/>
      <c r="O103" s="72"/>
      <c r="P103" s="72"/>
      <c r="Q103" s="72"/>
      <c r="R103" s="72"/>
      <c r="S103" s="72"/>
      <c r="T103" s="72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</row>
    <row r="104" ht="15.75" customHeight="1">
      <c r="A104" s="30" t="s">
        <v>52</v>
      </c>
      <c r="B104" s="249" t="s">
        <v>710</v>
      </c>
      <c r="C104" s="30" t="s">
        <v>422</v>
      </c>
      <c r="D104" s="30" t="s">
        <v>120</v>
      </c>
      <c r="E104" s="33" t="s">
        <v>72</v>
      </c>
      <c r="F104" s="33" t="s">
        <v>505</v>
      </c>
      <c r="G104" s="34" t="s">
        <v>706</v>
      </c>
      <c r="H104" s="90" t="s">
        <v>707</v>
      </c>
      <c r="I104" s="91" t="s">
        <v>83</v>
      </c>
      <c r="J104" s="271"/>
      <c r="K104" s="272"/>
      <c r="L104" s="47" t="str">
        <f t="shared" si="2"/>
        <v>IN PROGRESS</v>
      </c>
      <c r="M104" s="47"/>
      <c r="N104" s="57"/>
      <c r="O104" s="57"/>
      <c r="P104" s="57"/>
      <c r="Q104" s="57"/>
      <c r="R104" s="57"/>
      <c r="S104" s="57"/>
      <c r="T104" s="57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273"/>
      <c r="AN104" s="273"/>
      <c r="AO104" s="273"/>
      <c r="AP104" s="273"/>
      <c r="AQ104" s="273"/>
      <c r="AR104" s="273"/>
      <c r="AS104" s="273"/>
      <c r="AT104" s="273"/>
      <c r="AU104" s="273"/>
      <c r="AV104" s="273"/>
    </row>
    <row r="105" ht="15.75" customHeight="1">
      <c r="A105" s="61" t="s">
        <v>52</v>
      </c>
      <c r="B105" s="62" t="s">
        <v>712</v>
      </c>
      <c r="C105" s="61" t="s">
        <v>137</v>
      </c>
      <c r="D105" s="61" t="s">
        <v>120</v>
      </c>
      <c r="E105" s="62" t="s">
        <v>51</v>
      </c>
      <c r="F105" s="274" t="s">
        <v>505</v>
      </c>
      <c r="G105" s="63" t="s">
        <v>713</v>
      </c>
      <c r="H105" s="85"/>
      <c r="I105" s="86" t="s">
        <v>83</v>
      </c>
      <c r="J105" s="275"/>
      <c r="K105" s="270"/>
      <c r="L105" s="68" t="str">
        <f t="shared" si="2"/>
        <v/>
      </c>
      <c r="M105" s="68"/>
      <c r="N105" s="81" t="s">
        <v>712</v>
      </c>
      <c r="O105" s="142" t="s">
        <v>714</v>
      </c>
      <c r="P105" s="64"/>
      <c r="Q105" s="64"/>
      <c r="R105" s="64"/>
      <c r="S105" s="64"/>
      <c r="T105" s="276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</row>
    <row r="106" ht="15.75" customHeight="1">
      <c r="A106" s="30" t="s">
        <v>52</v>
      </c>
      <c r="B106" s="33" t="s">
        <v>715</v>
      </c>
      <c r="C106" s="30" t="s">
        <v>48</v>
      </c>
      <c r="D106" s="30" t="s">
        <v>120</v>
      </c>
      <c r="E106" s="33" t="s">
        <v>72</v>
      </c>
      <c r="F106" s="89" t="s">
        <v>505</v>
      </c>
      <c r="G106" s="34" t="s">
        <v>706</v>
      </c>
      <c r="H106" s="90" t="s">
        <v>707</v>
      </c>
      <c r="I106" s="91" t="s">
        <v>83</v>
      </c>
      <c r="J106" s="38"/>
      <c r="K106" s="38"/>
      <c r="L106" s="47" t="str">
        <f t="shared" si="2"/>
        <v/>
      </c>
      <c r="M106" s="47"/>
      <c r="N106" s="49" t="s">
        <v>715</v>
      </c>
      <c r="O106" s="54" t="s">
        <v>716</v>
      </c>
      <c r="P106" s="49" t="s">
        <v>715</v>
      </c>
      <c r="Q106" s="57"/>
      <c r="R106" s="57"/>
      <c r="S106" s="57"/>
      <c r="T106" s="35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</row>
    <row r="107" ht="15.75" customHeight="1">
      <c r="A107" s="61" t="s">
        <v>52</v>
      </c>
      <c r="B107" s="62" t="s">
        <v>717</v>
      </c>
      <c r="C107" s="61" t="s">
        <v>48</v>
      </c>
      <c r="D107" s="61" t="s">
        <v>120</v>
      </c>
      <c r="E107" s="62" t="s">
        <v>72</v>
      </c>
      <c r="F107" s="99" t="s">
        <v>505</v>
      </c>
      <c r="G107" s="63" t="s">
        <v>706</v>
      </c>
      <c r="H107" s="85" t="s">
        <v>707</v>
      </c>
      <c r="I107" s="86" t="s">
        <v>83</v>
      </c>
      <c r="J107" s="65"/>
      <c r="K107" s="65"/>
      <c r="L107" s="68" t="str">
        <f t="shared" si="2"/>
        <v/>
      </c>
      <c r="M107" s="279"/>
      <c r="N107" s="81" t="s">
        <v>717</v>
      </c>
      <c r="O107" s="71" t="s">
        <v>718</v>
      </c>
      <c r="P107" s="81" t="s">
        <v>717</v>
      </c>
      <c r="Q107" s="72"/>
      <c r="R107" s="72"/>
      <c r="S107" s="72"/>
      <c r="T107" s="276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</row>
    <row r="108" ht="15.75" customHeight="1">
      <c r="A108" s="30" t="s">
        <v>52</v>
      </c>
      <c r="B108" s="33" t="s">
        <v>719</v>
      </c>
      <c r="C108" s="30" t="s">
        <v>48</v>
      </c>
      <c r="D108" s="30" t="s">
        <v>120</v>
      </c>
      <c r="E108" s="33" t="s">
        <v>72</v>
      </c>
      <c r="F108" s="89" t="s">
        <v>505</v>
      </c>
      <c r="G108" s="34" t="s">
        <v>706</v>
      </c>
      <c r="H108" s="90" t="s">
        <v>707</v>
      </c>
      <c r="I108" s="91" t="s">
        <v>83</v>
      </c>
      <c r="J108" s="38"/>
      <c r="K108" s="38"/>
      <c r="L108" s="47" t="str">
        <f t="shared" si="2"/>
        <v/>
      </c>
      <c r="M108" s="252"/>
      <c r="N108" s="49" t="s">
        <v>719</v>
      </c>
      <c r="O108" s="54" t="s">
        <v>720</v>
      </c>
      <c r="P108" s="49" t="s">
        <v>719</v>
      </c>
      <c r="Q108" s="57"/>
      <c r="R108" s="57"/>
      <c r="S108" s="57"/>
      <c r="T108" s="57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</row>
    <row r="109">
      <c r="A109" s="61" t="s">
        <v>52</v>
      </c>
      <c r="B109" s="62" t="s">
        <v>721</v>
      </c>
      <c r="C109" s="61" t="s">
        <v>48</v>
      </c>
      <c r="D109" s="61" t="s">
        <v>120</v>
      </c>
      <c r="E109" s="62" t="s">
        <v>72</v>
      </c>
      <c r="F109" s="99" t="s">
        <v>505</v>
      </c>
      <c r="G109" s="63" t="s">
        <v>706</v>
      </c>
      <c r="H109" s="85" t="s">
        <v>707</v>
      </c>
      <c r="I109" s="86" t="s">
        <v>83</v>
      </c>
      <c r="J109" s="65"/>
      <c r="K109" s="65"/>
      <c r="L109" s="68" t="str">
        <f t="shared" si="2"/>
        <v/>
      </c>
      <c r="M109" s="279"/>
      <c r="N109" s="81" t="s">
        <v>721</v>
      </c>
      <c r="O109" s="71" t="s">
        <v>722</v>
      </c>
      <c r="P109" s="81" t="s">
        <v>721</v>
      </c>
      <c r="Q109" s="72"/>
      <c r="R109" s="72"/>
      <c r="S109" s="72"/>
      <c r="T109" s="72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</row>
    <row r="110" ht="15.75" customHeight="1">
      <c r="A110" s="30" t="s">
        <v>52</v>
      </c>
      <c r="B110" s="33" t="s">
        <v>723</v>
      </c>
      <c r="C110" s="30" t="s">
        <v>48</v>
      </c>
      <c r="D110" s="30" t="s">
        <v>120</v>
      </c>
      <c r="E110" s="33" t="s">
        <v>51</v>
      </c>
      <c r="F110" s="89" t="s">
        <v>505</v>
      </c>
      <c r="G110" s="34" t="s">
        <v>706</v>
      </c>
      <c r="H110" s="90" t="s">
        <v>707</v>
      </c>
      <c r="I110" s="91" t="s">
        <v>83</v>
      </c>
      <c r="J110" s="114"/>
      <c r="K110" s="38"/>
      <c r="L110" s="47" t="str">
        <f t="shared" si="2"/>
        <v/>
      </c>
      <c r="M110" s="47"/>
      <c r="N110" s="49" t="s">
        <v>723</v>
      </c>
      <c r="O110" s="54" t="s">
        <v>724</v>
      </c>
      <c r="P110" s="49" t="s">
        <v>723</v>
      </c>
      <c r="Q110" s="57"/>
      <c r="R110" s="57"/>
      <c r="S110" s="57"/>
      <c r="T110" s="28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</row>
    <row r="111" ht="15.75" customHeight="1">
      <c r="A111" s="61" t="s">
        <v>52</v>
      </c>
      <c r="B111" s="62" t="s">
        <v>725</v>
      </c>
      <c r="C111" s="61" t="s">
        <v>48</v>
      </c>
      <c r="D111" s="61" t="s">
        <v>120</v>
      </c>
      <c r="E111" s="62" t="s">
        <v>51</v>
      </c>
      <c r="F111" s="99" t="s">
        <v>505</v>
      </c>
      <c r="G111" s="63" t="s">
        <v>706</v>
      </c>
      <c r="H111" s="85" t="s">
        <v>707</v>
      </c>
      <c r="I111" s="86" t="s">
        <v>83</v>
      </c>
      <c r="J111" s="65"/>
      <c r="K111" s="65"/>
      <c r="L111" s="68" t="str">
        <f t="shared" si="2"/>
        <v/>
      </c>
      <c r="M111" s="68"/>
      <c r="N111" s="81" t="s">
        <v>725</v>
      </c>
      <c r="O111" s="71" t="s">
        <v>726</v>
      </c>
      <c r="P111" s="81" t="s">
        <v>725</v>
      </c>
      <c r="Q111" s="72"/>
      <c r="R111" s="72"/>
      <c r="S111" s="72"/>
      <c r="T111" s="72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</row>
    <row r="112" ht="15.75" customHeight="1">
      <c r="A112" s="30" t="s">
        <v>52</v>
      </c>
      <c r="B112" s="33" t="s">
        <v>727</v>
      </c>
      <c r="C112" s="30" t="s">
        <v>137</v>
      </c>
      <c r="D112" s="30" t="s">
        <v>120</v>
      </c>
      <c r="E112" s="33" t="s">
        <v>51</v>
      </c>
      <c r="F112" s="194" t="s">
        <v>505</v>
      </c>
      <c r="G112" s="34" t="s">
        <v>728</v>
      </c>
      <c r="H112" s="90"/>
      <c r="I112" s="91" t="s">
        <v>83</v>
      </c>
      <c r="J112" s="281"/>
      <c r="K112" s="272"/>
      <c r="L112" s="47" t="str">
        <f t="shared" si="2"/>
        <v/>
      </c>
      <c r="M112" s="252"/>
      <c r="N112" s="49" t="s">
        <v>727</v>
      </c>
      <c r="O112" s="110" t="s">
        <v>730</v>
      </c>
      <c r="P112" s="280"/>
      <c r="Q112" s="280"/>
      <c r="R112" s="280"/>
      <c r="S112" s="280"/>
      <c r="T112" s="3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</row>
    <row r="113" ht="15.75" customHeight="1">
      <c r="A113" s="61" t="s">
        <v>52</v>
      </c>
      <c r="B113" s="239" t="s">
        <v>731</v>
      </c>
      <c r="C113" s="61" t="s">
        <v>48</v>
      </c>
      <c r="D113" s="61" t="s">
        <v>120</v>
      </c>
      <c r="E113" s="62" t="s">
        <v>72</v>
      </c>
      <c r="F113" s="274" t="s">
        <v>732</v>
      </c>
      <c r="G113" s="282" t="s">
        <v>733</v>
      </c>
      <c r="H113" s="85" t="s">
        <v>735</v>
      </c>
      <c r="I113" s="86" t="s">
        <v>183</v>
      </c>
      <c r="J113" s="269"/>
      <c r="K113" s="270"/>
      <c r="L113" s="68" t="str">
        <f t="shared" si="2"/>
        <v/>
      </c>
      <c r="M113" s="68"/>
      <c r="N113" s="72"/>
      <c r="O113" s="72"/>
      <c r="P113" s="72"/>
      <c r="Q113" s="72"/>
      <c r="R113" s="72"/>
      <c r="S113" s="72"/>
      <c r="T113" s="72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</row>
    <row r="114" ht="15.75" customHeight="1">
      <c r="A114" s="30" t="s">
        <v>52</v>
      </c>
      <c r="B114" s="33" t="s">
        <v>737</v>
      </c>
      <c r="C114" s="30" t="s">
        <v>48</v>
      </c>
      <c r="D114" s="30" t="s">
        <v>120</v>
      </c>
      <c r="E114" s="33" t="s">
        <v>87</v>
      </c>
      <c r="F114" s="89" t="s">
        <v>738</v>
      </c>
      <c r="G114" s="34" t="s">
        <v>739</v>
      </c>
      <c r="H114" s="90" t="s">
        <v>740</v>
      </c>
      <c r="I114" s="91" t="s">
        <v>158</v>
      </c>
      <c r="J114" s="271">
        <v>45654.0</v>
      </c>
      <c r="K114" s="283">
        <v>46019.0</v>
      </c>
      <c r="L114" s="47" t="str">
        <f t="shared" si="2"/>
        <v>EXPIRED</v>
      </c>
      <c r="M114" s="220" t="s">
        <v>741</v>
      </c>
      <c r="N114" s="49" t="s">
        <v>737</v>
      </c>
      <c r="O114" s="110" t="s">
        <v>742</v>
      </c>
      <c r="P114" s="49" t="s">
        <v>737</v>
      </c>
      <c r="Q114" s="280"/>
      <c r="R114" s="280"/>
      <c r="S114" s="280"/>
      <c r="T114" s="57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</row>
    <row r="115" ht="15.75" customHeight="1">
      <c r="A115" s="61" t="s">
        <v>52</v>
      </c>
      <c r="B115" s="62" t="s">
        <v>743</v>
      </c>
      <c r="C115" s="61" t="s">
        <v>48</v>
      </c>
      <c r="D115" s="61" t="s">
        <v>120</v>
      </c>
      <c r="E115" s="62" t="s">
        <v>72</v>
      </c>
      <c r="F115" s="99" t="s">
        <v>744</v>
      </c>
      <c r="G115" s="63" t="s">
        <v>745</v>
      </c>
      <c r="H115" s="85" t="s">
        <v>746</v>
      </c>
      <c r="I115" s="86" t="s">
        <v>83</v>
      </c>
      <c r="J115" s="275">
        <v>45537.0</v>
      </c>
      <c r="K115" s="284">
        <v>45902.0</v>
      </c>
      <c r="L115" s="68" t="str">
        <f t="shared" si="2"/>
        <v>EXPIRED</v>
      </c>
      <c r="M115" s="285" t="s">
        <v>747</v>
      </c>
      <c r="N115" s="81" t="s">
        <v>743</v>
      </c>
      <c r="O115" s="142" t="s">
        <v>748</v>
      </c>
      <c r="P115" s="276"/>
      <c r="Q115" s="276"/>
      <c r="R115" s="276"/>
      <c r="S115" s="276"/>
      <c r="T115" s="61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</row>
    <row r="116" ht="15.75" customHeight="1">
      <c r="A116" s="30" t="s">
        <v>52</v>
      </c>
      <c r="B116" s="33" t="s">
        <v>749</v>
      </c>
      <c r="C116" s="30" t="s">
        <v>48</v>
      </c>
      <c r="D116" s="30" t="s">
        <v>120</v>
      </c>
      <c r="E116" s="33" t="s">
        <v>72</v>
      </c>
      <c r="F116" s="89" t="s">
        <v>750</v>
      </c>
      <c r="G116" s="34" t="s">
        <v>751</v>
      </c>
      <c r="H116" s="90"/>
      <c r="I116" s="91" t="s">
        <v>83</v>
      </c>
      <c r="J116" s="271">
        <v>45847.0</v>
      </c>
      <c r="K116" s="283">
        <v>46212.0</v>
      </c>
      <c r="L116" s="47" t="str">
        <f t="shared" si="2"/>
        <v>EXPIRED</v>
      </c>
      <c r="M116" s="196" t="s">
        <v>752</v>
      </c>
      <c r="N116" s="49" t="s">
        <v>749</v>
      </c>
      <c r="O116" s="110" t="s">
        <v>753</v>
      </c>
      <c r="P116" s="30"/>
      <c r="Q116" s="30"/>
      <c r="R116" s="30"/>
      <c r="S116" s="30"/>
      <c r="T116" s="3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</row>
    <row r="117" ht="15.75" customHeight="1">
      <c r="A117" s="61" t="s">
        <v>52</v>
      </c>
      <c r="B117" s="62" t="s">
        <v>754</v>
      </c>
      <c r="C117" s="61" t="s">
        <v>48</v>
      </c>
      <c r="D117" s="61" t="s">
        <v>120</v>
      </c>
      <c r="E117" s="62" t="s">
        <v>72</v>
      </c>
      <c r="F117" s="99" t="s">
        <v>161</v>
      </c>
      <c r="G117" s="63" t="s">
        <v>162</v>
      </c>
      <c r="H117" s="85"/>
      <c r="I117" s="86" t="s">
        <v>83</v>
      </c>
      <c r="J117" s="269"/>
      <c r="K117" s="270"/>
      <c r="L117" s="68" t="str">
        <f t="shared" si="2"/>
        <v/>
      </c>
      <c r="M117" s="68"/>
      <c r="N117" s="81" t="s">
        <v>754</v>
      </c>
      <c r="O117" s="142" t="s">
        <v>755</v>
      </c>
      <c r="P117" s="61"/>
      <c r="Q117" s="61"/>
      <c r="R117" s="61"/>
      <c r="S117" s="61"/>
      <c r="T117" s="72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</row>
    <row r="118" ht="15.75" customHeight="1">
      <c r="A118" s="30" t="s">
        <v>52</v>
      </c>
      <c r="B118" s="33" t="s">
        <v>756</v>
      </c>
      <c r="C118" s="30" t="s">
        <v>48</v>
      </c>
      <c r="D118" s="30" t="s">
        <v>120</v>
      </c>
      <c r="E118" s="33" t="s">
        <v>72</v>
      </c>
      <c r="F118" s="89" t="s">
        <v>757</v>
      </c>
      <c r="G118" s="34" t="s">
        <v>758</v>
      </c>
      <c r="H118" s="90" t="s">
        <v>759</v>
      </c>
      <c r="I118" s="91" t="s">
        <v>183</v>
      </c>
      <c r="J118" s="281">
        <v>45407.0</v>
      </c>
      <c r="K118" s="283">
        <v>46320.0</v>
      </c>
      <c r="L118" s="47">
        <f t="shared" si="2"/>
        <v>59</v>
      </c>
      <c r="M118" s="218" t="s">
        <v>760</v>
      </c>
      <c r="N118" s="49" t="s">
        <v>756</v>
      </c>
      <c r="O118" s="110" t="s">
        <v>761</v>
      </c>
      <c r="P118" s="30"/>
      <c r="Q118" s="30"/>
      <c r="R118" s="30"/>
      <c r="S118" s="30"/>
      <c r="T118" s="57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</row>
    <row r="119" ht="15.75" customHeight="1">
      <c r="A119" s="61" t="s">
        <v>52</v>
      </c>
      <c r="B119" s="62" t="s">
        <v>762</v>
      </c>
      <c r="C119" s="61" t="s">
        <v>48</v>
      </c>
      <c r="D119" s="61" t="s">
        <v>120</v>
      </c>
      <c r="E119" s="62" t="s">
        <v>72</v>
      </c>
      <c r="F119" s="99" t="s">
        <v>763</v>
      </c>
      <c r="G119" s="63" t="s">
        <v>764</v>
      </c>
      <c r="H119" s="85" t="s">
        <v>765</v>
      </c>
      <c r="I119" s="251" t="s">
        <v>183</v>
      </c>
      <c r="J119" s="269">
        <v>45675.0</v>
      </c>
      <c r="K119" s="270">
        <v>46039.0</v>
      </c>
      <c r="L119" s="68" t="str">
        <f t="shared" si="2"/>
        <v>EXPIRED</v>
      </c>
      <c r="M119" s="251"/>
      <c r="N119" s="81" t="s">
        <v>762</v>
      </c>
      <c r="O119" s="142" t="s">
        <v>766</v>
      </c>
      <c r="P119" s="61"/>
      <c r="Q119" s="61"/>
      <c r="R119" s="61"/>
      <c r="S119" s="61"/>
      <c r="T119" s="72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</row>
    <row r="120" ht="15.75" customHeight="1">
      <c r="A120" s="30" t="s">
        <v>52</v>
      </c>
      <c r="B120" s="33" t="s">
        <v>768</v>
      </c>
      <c r="C120" s="30" t="s">
        <v>48</v>
      </c>
      <c r="D120" s="30" t="s">
        <v>120</v>
      </c>
      <c r="E120" s="33" t="s">
        <v>72</v>
      </c>
      <c r="F120" s="89" t="s">
        <v>770</v>
      </c>
      <c r="G120" s="34" t="s">
        <v>771</v>
      </c>
      <c r="H120" s="90" t="s">
        <v>772</v>
      </c>
      <c r="I120" s="91" t="s">
        <v>83</v>
      </c>
      <c r="J120" s="38">
        <v>45689.0</v>
      </c>
      <c r="K120" s="38">
        <v>46054.0</v>
      </c>
      <c r="L120" s="47" t="str">
        <f t="shared" si="2"/>
        <v>EXPIRED</v>
      </c>
      <c r="M120" s="47"/>
      <c r="N120" s="49" t="s">
        <v>768</v>
      </c>
      <c r="O120" s="54" t="s">
        <v>773</v>
      </c>
      <c r="P120" s="49" t="s">
        <v>768</v>
      </c>
      <c r="Q120" s="57"/>
      <c r="R120" s="57"/>
      <c r="S120" s="57"/>
      <c r="T120" s="3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</row>
    <row r="121" ht="15.75" customHeight="1">
      <c r="A121" s="61" t="s">
        <v>52</v>
      </c>
      <c r="B121" s="62" t="s">
        <v>774</v>
      </c>
      <c r="C121" s="61" t="s">
        <v>48</v>
      </c>
      <c r="D121" s="61" t="s">
        <v>50</v>
      </c>
      <c r="E121" s="62" t="s">
        <v>72</v>
      </c>
      <c r="F121" s="62" t="s">
        <v>641</v>
      </c>
      <c r="G121" s="63" t="s">
        <v>642</v>
      </c>
      <c r="H121" s="62" t="s">
        <v>642</v>
      </c>
      <c r="I121" s="64" t="s">
        <v>58</v>
      </c>
      <c r="J121" s="61" t="s">
        <v>642</v>
      </c>
      <c r="K121" s="270"/>
      <c r="L121" s="68" t="str">
        <f t="shared" si="2"/>
        <v/>
      </c>
      <c r="M121" s="251"/>
      <c r="N121" s="71" t="s">
        <v>774</v>
      </c>
      <c r="O121" s="142" t="s">
        <v>775</v>
      </c>
      <c r="P121" s="61"/>
      <c r="Q121" s="61"/>
      <c r="R121" s="61"/>
      <c r="S121" s="61"/>
      <c r="T121" s="72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</row>
    <row r="122" ht="15.75" customHeight="1">
      <c r="A122" s="30" t="s">
        <v>52</v>
      </c>
      <c r="B122" s="33" t="s">
        <v>776</v>
      </c>
      <c r="C122" s="30" t="s">
        <v>48</v>
      </c>
      <c r="D122" s="30" t="s">
        <v>50</v>
      </c>
      <c r="E122" s="33" t="s">
        <v>72</v>
      </c>
      <c r="F122" s="33" t="s">
        <v>777</v>
      </c>
      <c r="G122" s="34" t="s">
        <v>778</v>
      </c>
      <c r="H122" s="33"/>
      <c r="I122" s="35" t="s">
        <v>58</v>
      </c>
      <c r="J122" s="114"/>
      <c r="K122" s="38"/>
      <c r="L122" s="47" t="str">
        <f t="shared" si="2"/>
        <v/>
      </c>
      <c r="M122" s="47"/>
      <c r="N122" s="49" t="s">
        <v>776</v>
      </c>
      <c r="O122" s="54" t="s">
        <v>780</v>
      </c>
      <c r="P122" s="49" t="s">
        <v>776</v>
      </c>
      <c r="Q122" s="57"/>
      <c r="R122" s="57"/>
      <c r="S122" s="57"/>
      <c r="T122" s="3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</row>
    <row r="123" ht="15.75" customHeight="1">
      <c r="A123" s="61" t="s">
        <v>52</v>
      </c>
      <c r="B123" s="62" t="s">
        <v>783</v>
      </c>
      <c r="C123" s="61" t="s">
        <v>48</v>
      </c>
      <c r="D123" s="61" t="s">
        <v>110</v>
      </c>
      <c r="E123" s="62" t="s">
        <v>72</v>
      </c>
      <c r="F123" s="99" t="s">
        <v>784</v>
      </c>
      <c r="G123" s="63" t="s">
        <v>785</v>
      </c>
      <c r="H123" s="85" t="s">
        <v>786</v>
      </c>
      <c r="I123" s="86" t="s">
        <v>83</v>
      </c>
      <c r="J123" s="269">
        <v>45554.0</v>
      </c>
      <c r="K123" s="284">
        <v>45919.0</v>
      </c>
      <c r="L123" s="68" t="str">
        <f t="shared" si="2"/>
        <v>EXPIRED</v>
      </c>
      <c r="M123" s="102" t="s">
        <v>788</v>
      </c>
      <c r="N123" s="81" t="s">
        <v>783</v>
      </c>
      <c r="O123" s="142" t="s">
        <v>789</v>
      </c>
      <c r="P123" s="276"/>
      <c r="Q123" s="276"/>
      <c r="R123" s="276"/>
      <c r="S123" s="276"/>
      <c r="T123" s="72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</row>
    <row r="124" ht="15.75" customHeight="1">
      <c r="A124" s="30" t="s">
        <v>52</v>
      </c>
      <c r="B124" s="33" t="s">
        <v>790</v>
      </c>
      <c r="C124" s="30" t="s">
        <v>48</v>
      </c>
      <c r="D124" s="30" t="s">
        <v>110</v>
      </c>
      <c r="E124" s="33" t="s">
        <v>72</v>
      </c>
      <c r="F124" s="33" t="s">
        <v>777</v>
      </c>
      <c r="G124" s="34" t="s">
        <v>778</v>
      </c>
      <c r="H124" s="33"/>
      <c r="I124" s="91"/>
      <c r="J124" s="38">
        <v>45779.0</v>
      </c>
      <c r="K124" s="38">
        <v>46144.0</v>
      </c>
      <c r="L124" s="47" t="str">
        <f t="shared" si="2"/>
        <v>EXPIRED</v>
      </c>
      <c r="M124" s="57"/>
      <c r="N124" s="49" t="s">
        <v>790</v>
      </c>
      <c r="O124" s="54" t="s">
        <v>791</v>
      </c>
      <c r="P124" s="57"/>
      <c r="Q124" s="57"/>
      <c r="R124" s="57"/>
      <c r="S124" s="57"/>
      <c r="T124" s="28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</row>
    <row r="125" ht="15.75" customHeight="1">
      <c r="A125" s="61" t="s">
        <v>52</v>
      </c>
      <c r="B125" s="62" t="s">
        <v>795</v>
      </c>
      <c r="C125" s="61" t="s">
        <v>48</v>
      </c>
      <c r="D125" s="61" t="s">
        <v>179</v>
      </c>
      <c r="E125" s="62" t="s">
        <v>87</v>
      </c>
      <c r="F125" s="99" t="s">
        <v>796</v>
      </c>
      <c r="G125" s="63" t="s">
        <v>797</v>
      </c>
      <c r="H125" s="85" t="s">
        <v>798</v>
      </c>
      <c r="I125" s="86" t="s">
        <v>158</v>
      </c>
      <c r="J125" s="275">
        <v>45779.0</v>
      </c>
      <c r="K125" s="284">
        <v>46144.0</v>
      </c>
      <c r="L125" s="68" t="str">
        <f t="shared" si="2"/>
        <v>EXPIRED</v>
      </c>
      <c r="M125" s="292" t="s">
        <v>800</v>
      </c>
      <c r="N125" s="81" t="s">
        <v>795</v>
      </c>
      <c r="O125" s="142" t="s">
        <v>801</v>
      </c>
      <c r="P125" s="276"/>
      <c r="Q125" s="276"/>
      <c r="R125" s="276"/>
      <c r="S125" s="276"/>
      <c r="T125" s="276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</row>
    <row r="126" ht="15.75" customHeight="1">
      <c r="A126" s="30" t="s">
        <v>52</v>
      </c>
      <c r="B126" s="33" t="s">
        <v>802</v>
      </c>
      <c r="C126" s="30" t="s">
        <v>48</v>
      </c>
      <c r="D126" s="30" t="s">
        <v>179</v>
      </c>
      <c r="E126" s="33" t="s">
        <v>72</v>
      </c>
      <c r="F126" s="89" t="s">
        <v>803</v>
      </c>
      <c r="G126" s="34" t="s">
        <v>804</v>
      </c>
      <c r="H126" s="90" t="s">
        <v>805</v>
      </c>
      <c r="I126" s="91" t="s">
        <v>158</v>
      </c>
      <c r="J126" s="271">
        <v>45628.0</v>
      </c>
      <c r="K126" s="283">
        <v>45993.0</v>
      </c>
      <c r="L126" s="47" t="str">
        <f t="shared" si="2"/>
        <v>EXPIRED</v>
      </c>
      <c r="M126" s="220" t="s">
        <v>806</v>
      </c>
      <c r="N126" s="49" t="s">
        <v>802</v>
      </c>
      <c r="O126" s="110" t="s">
        <v>807</v>
      </c>
      <c r="P126" s="280"/>
      <c r="Q126" s="280"/>
      <c r="R126" s="280"/>
      <c r="S126" s="280"/>
      <c r="T126" s="57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</row>
    <row r="127" ht="15.75" hidden="1" customHeight="1">
      <c r="A127" s="61" t="s">
        <v>144</v>
      </c>
      <c r="B127" s="62" t="s">
        <v>696</v>
      </c>
      <c r="C127" s="61" t="s">
        <v>48</v>
      </c>
      <c r="D127" s="61" t="s">
        <v>50</v>
      </c>
      <c r="E127" s="62" t="s">
        <v>72</v>
      </c>
      <c r="F127" s="62" t="s">
        <v>697</v>
      </c>
      <c r="G127" s="63"/>
      <c r="H127" s="62"/>
      <c r="I127" s="64" t="s">
        <v>58</v>
      </c>
      <c r="J127" s="65">
        <v>45152.0</v>
      </c>
      <c r="K127" s="65"/>
      <c r="L127" s="68" t="str">
        <f t="shared" si="2"/>
        <v/>
      </c>
      <c r="M127" s="68"/>
      <c r="N127" s="81" t="s">
        <v>696</v>
      </c>
      <c r="O127" s="71" t="s">
        <v>698</v>
      </c>
      <c r="P127" s="142" t="s">
        <v>696</v>
      </c>
      <c r="Q127" s="72"/>
      <c r="R127" s="72"/>
      <c r="S127" s="72"/>
      <c r="T127" s="72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</row>
    <row r="128" ht="15.75" hidden="1" customHeight="1">
      <c r="A128" s="30" t="s">
        <v>196</v>
      </c>
      <c r="B128" s="33" t="s">
        <v>734</v>
      </c>
      <c r="C128" s="30" t="s">
        <v>48</v>
      </c>
      <c r="D128" s="30" t="s">
        <v>50</v>
      </c>
      <c r="E128" s="33" t="s">
        <v>72</v>
      </c>
      <c r="F128" s="33" t="s">
        <v>245</v>
      </c>
      <c r="G128" s="34"/>
      <c r="H128" s="33"/>
      <c r="I128" s="35" t="s">
        <v>58</v>
      </c>
      <c r="J128" s="38">
        <v>45092.0</v>
      </c>
      <c r="K128" s="38">
        <v>46188.0</v>
      </c>
      <c r="L128" s="47" t="str">
        <f t="shared" si="2"/>
        <v>EXPIRED</v>
      </c>
      <c r="M128" s="47"/>
      <c r="N128" s="49" t="s">
        <v>734</v>
      </c>
      <c r="O128" s="54" t="s">
        <v>736</v>
      </c>
      <c r="P128" s="110" t="s">
        <v>734</v>
      </c>
      <c r="Q128" s="57"/>
      <c r="R128" s="57"/>
      <c r="S128" s="57"/>
      <c r="T128" s="57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</row>
    <row r="129" ht="15.75" hidden="1" customHeight="1">
      <c r="A129" s="61" t="s">
        <v>196</v>
      </c>
      <c r="B129" s="62" t="s">
        <v>767</v>
      </c>
      <c r="C129" s="61" t="s">
        <v>48</v>
      </c>
      <c r="D129" s="61" t="s">
        <v>50</v>
      </c>
      <c r="E129" s="62" t="s">
        <v>72</v>
      </c>
      <c r="F129" s="62"/>
      <c r="G129" s="63"/>
      <c r="H129" s="62"/>
      <c r="I129" s="64" t="s">
        <v>58</v>
      </c>
      <c r="J129" s="80"/>
      <c r="K129" s="65"/>
      <c r="L129" s="68" t="str">
        <f t="shared" si="2"/>
        <v/>
      </c>
      <c r="M129" s="68"/>
      <c r="N129" s="81" t="s">
        <v>767</v>
      </c>
      <c r="O129" s="71" t="s">
        <v>769</v>
      </c>
      <c r="P129" s="81" t="s">
        <v>767</v>
      </c>
      <c r="Q129" s="72"/>
      <c r="R129" s="72"/>
      <c r="S129" s="72"/>
      <c r="T129" s="72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</row>
    <row r="130" ht="15.75" hidden="1" customHeight="1">
      <c r="A130" s="30" t="s">
        <v>196</v>
      </c>
      <c r="B130" s="33" t="s">
        <v>781</v>
      </c>
      <c r="C130" s="30" t="s">
        <v>48</v>
      </c>
      <c r="D130" s="30" t="s">
        <v>50</v>
      </c>
      <c r="E130" s="33" t="s">
        <v>72</v>
      </c>
      <c r="F130" s="33" t="s">
        <v>782</v>
      </c>
      <c r="G130" s="34"/>
      <c r="H130" s="33"/>
      <c r="I130" s="35" t="s">
        <v>58</v>
      </c>
      <c r="J130" s="114"/>
      <c r="K130" s="38"/>
      <c r="L130" s="47" t="str">
        <f t="shared" si="2"/>
        <v/>
      </c>
      <c r="M130" s="47"/>
      <c r="N130" s="54" t="s">
        <v>781</v>
      </c>
      <c r="O130" s="54" t="s">
        <v>787</v>
      </c>
      <c r="P130" s="54" t="s">
        <v>781</v>
      </c>
      <c r="Q130" s="57"/>
      <c r="R130" s="57"/>
      <c r="S130" s="57"/>
      <c r="T130" s="57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</row>
    <row r="131" ht="15.75" hidden="1" customHeight="1">
      <c r="A131" s="61" t="s">
        <v>295</v>
      </c>
      <c r="B131" s="62" t="s">
        <v>808</v>
      </c>
      <c r="C131" s="61" t="s">
        <v>48</v>
      </c>
      <c r="D131" s="61" t="s">
        <v>50</v>
      </c>
      <c r="E131" s="62" t="s">
        <v>72</v>
      </c>
      <c r="F131" s="62" t="s">
        <v>809</v>
      </c>
      <c r="G131" s="63"/>
      <c r="H131" s="62"/>
      <c r="I131" s="64" t="s">
        <v>58</v>
      </c>
      <c r="J131" s="65">
        <v>45092.0</v>
      </c>
      <c r="K131" s="66" t="s">
        <v>62</v>
      </c>
      <c r="L131" s="68" t="str">
        <f t="shared" si="2"/>
        <v>?</v>
      </c>
      <c r="M131" s="68"/>
      <c r="N131" s="81" t="s">
        <v>808</v>
      </c>
      <c r="O131" s="71" t="s">
        <v>810</v>
      </c>
      <c r="P131" s="81" t="s">
        <v>808</v>
      </c>
      <c r="Q131" s="72"/>
      <c r="R131" s="72"/>
      <c r="S131" s="72"/>
      <c r="T131" s="72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</row>
    <row r="132" ht="15.75" hidden="1" customHeight="1">
      <c r="A132" s="30" t="s">
        <v>295</v>
      </c>
      <c r="B132" s="33" t="s">
        <v>811</v>
      </c>
      <c r="C132" s="30" t="s">
        <v>48</v>
      </c>
      <c r="D132" s="30" t="s">
        <v>50</v>
      </c>
      <c r="E132" s="33" t="s">
        <v>87</v>
      </c>
      <c r="F132" s="33" t="s">
        <v>812</v>
      </c>
      <c r="G132" s="34"/>
      <c r="H132" s="33"/>
      <c r="I132" s="35" t="s">
        <v>58</v>
      </c>
      <c r="J132" s="38">
        <v>45100.0</v>
      </c>
      <c r="K132" s="38">
        <v>46196.0</v>
      </c>
      <c r="L132" s="47" t="str">
        <f t="shared" si="2"/>
        <v>EXPIRED</v>
      </c>
      <c r="M132" s="47"/>
      <c r="N132" s="49" t="s">
        <v>811</v>
      </c>
      <c r="O132" s="54" t="s">
        <v>813</v>
      </c>
      <c r="P132" s="54" t="s">
        <v>811</v>
      </c>
      <c r="Q132" s="57"/>
      <c r="R132" s="57"/>
      <c r="S132" s="57"/>
      <c r="T132" s="57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</row>
    <row r="133" hidden="1">
      <c r="A133" s="61" t="s">
        <v>295</v>
      </c>
      <c r="B133" s="62" t="s">
        <v>814</v>
      </c>
      <c r="C133" s="61" t="s">
        <v>48</v>
      </c>
      <c r="D133" s="61" t="s">
        <v>50</v>
      </c>
      <c r="E133" s="62" t="s">
        <v>87</v>
      </c>
      <c r="F133" s="62" t="s">
        <v>815</v>
      </c>
      <c r="G133" s="63"/>
      <c r="H133" s="62"/>
      <c r="I133" s="64" t="s">
        <v>58</v>
      </c>
      <c r="J133" s="80"/>
      <c r="K133" s="65"/>
      <c r="L133" s="68" t="str">
        <f t="shared" si="2"/>
        <v/>
      </c>
      <c r="M133" s="68"/>
      <c r="N133" s="71" t="s">
        <v>814</v>
      </c>
      <c r="O133" s="71" t="s">
        <v>816</v>
      </c>
      <c r="P133" s="72"/>
      <c r="Q133" s="72"/>
      <c r="R133" s="72"/>
      <c r="S133" s="72"/>
      <c r="T133" s="72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</row>
    <row r="134" ht="15.75" hidden="1" customHeight="1">
      <c r="A134" s="30" t="s">
        <v>144</v>
      </c>
      <c r="B134" s="33" t="s">
        <v>667</v>
      </c>
      <c r="C134" s="30" t="s">
        <v>104</v>
      </c>
      <c r="D134" s="30" t="s">
        <v>105</v>
      </c>
      <c r="E134" s="33" t="s">
        <v>72</v>
      </c>
      <c r="F134" s="33" t="s">
        <v>668</v>
      </c>
      <c r="G134" s="34"/>
      <c r="H134" s="293"/>
      <c r="I134" s="35" t="s">
        <v>58</v>
      </c>
      <c r="J134" s="114"/>
      <c r="K134" s="38"/>
      <c r="L134" s="47" t="str">
        <f t="shared" si="2"/>
        <v>INACTIVE</v>
      </c>
      <c r="M134" s="47"/>
      <c r="N134" s="49" t="s">
        <v>667</v>
      </c>
      <c r="O134" s="57"/>
      <c r="P134" s="57"/>
      <c r="Q134" s="57"/>
      <c r="R134" s="57"/>
      <c r="S134" s="57"/>
      <c r="T134" s="57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</row>
    <row r="135" ht="15.75" hidden="1" customHeight="1">
      <c r="A135" s="61" t="s">
        <v>144</v>
      </c>
      <c r="B135" s="62" t="s">
        <v>684</v>
      </c>
      <c r="C135" s="61" t="s">
        <v>104</v>
      </c>
      <c r="D135" s="61" t="s">
        <v>105</v>
      </c>
      <c r="E135" s="62" t="s">
        <v>72</v>
      </c>
      <c r="F135" s="62" t="s">
        <v>685</v>
      </c>
      <c r="G135" s="63"/>
      <c r="H135" s="62"/>
      <c r="I135" s="64" t="s">
        <v>58</v>
      </c>
      <c r="J135" s="80"/>
      <c r="K135" s="65"/>
      <c r="L135" s="68" t="str">
        <f t="shared" si="2"/>
        <v>INACTIVE</v>
      </c>
      <c r="M135" s="68"/>
      <c r="N135" s="81" t="s">
        <v>684</v>
      </c>
      <c r="O135" s="71" t="s">
        <v>689</v>
      </c>
      <c r="P135" s="81" t="s">
        <v>684</v>
      </c>
      <c r="Q135" s="72"/>
      <c r="R135" s="72"/>
      <c r="S135" s="72"/>
      <c r="T135" s="72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</row>
    <row r="136" ht="15.75" hidden="1" customHeight="1">
      <c r="A136" s="30" t="s">
        <v>252</v>
      </c>
      <c r="B136" s="33" t="s">
        <v>550</v>
      </c>
      <c r="C136" s="30" t="s">
        <v>104</v>
      </c>
      <c r="D136" s="30" t="s">
        <v>105</v>
      </c>
      <c r="E136" s="33" t="s">
        <v>72</v>
      </c>
      <c r="F136" s="33"/>
      <c r="G136" s="34"/>
      <c r="H136" s="90"/>
      <c r="I136" s="35"/>
      <c r="J136" s="38"/>
      <c r="K136" s="38"/>
      <c r="L136" s="47" t="str">
        <f t="shared" si="2"/>
        <v>INACTIVE</v>
      </c>
      <c r="M136" s="220" t="s">
        <v>555</v>
      </c>
      <c r="N136" s="49" t="s">
        <v>550</v>
      </c>
      <c r="O136" s="54" t="s">
        <v>557</v>
      </c>
      <c r="P136" s="110" t="s">
        <v>550</v>
      </c>
      <c r="Q136" s="57"/>
      <c r="R136" s="57"/>
      <c r="S136" s="57"/>
      <c r="T136" s="57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</row>
    <row r="137" hidden="1">
      <c r="A137" s="61" t="s">
        <v>574</v>
      </c>
      <c r="B137" s="62" t="s">
        <v>817</v>
      </c>
      <c r="C137" s="61" t="s">
        <v>104</v>
      </c>
      <c r="D137" s="61" t="s">
        <v>105</v>
      </c>
      <c r="E137" s="62" t="s">
        <v>51</v>
      </c>
      <c r="F137" s="294" t="s">
        <v>818</v>
      </c>
      <c r="G137" s="63"/>
      <c r="H137" s="85"/>
      <c r="I137" s="61"/>
      <c r="J137" s="80"/>
      <c r="K137" s="65"/>
      <c r="L137" s="68" t="str">
        <f t="shared" si="2"/>
        <v>INACTIVE</v>
      </c>
      <c r="M137" s="68"/>
      <c r="N137" s="71" t="s">
        <v>819</v>
      </c>
      <c r="O137" s="81" t="s">
        <v>820</v>
      </c>
      <c r="P137" s="72"/>
      <c r="Q137" s="72"/>
      <c r="R137" s="72"/>
      <c r="S137" s="72"/>
      <c r="T137" s="72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</row>
    <row r="138" ht="15.0" hidden="1" customHeight="1">
      <c r="A138" s="295" t="s">
        <v>574</v>
      </c>
      <c r="B138" s="296" t="s">
        <v>821</v>
      </c>
      <c r="C138" s="295" t="s">
        <v>48</v>
      </c>
      <c r="D138" s="295" t="s">
        <v>110</v>
      </c>
      <c r="E138" s="296" t="s">
        <v>51</v>
      </c>
      <c r="F138" s="297" t="s">
        <v>822</v>
      </c>
      <c r="G138" s="298"/>
      <c r="H138" s="296"/>
      <c r="I138" s="299" t="s">
        <v>183</v>
      </c>
      <c r="J138" s="300">
        <v>45701.0</v>
      </c>
      <c r="K138" s="301">
        <v>46066.0</v>
      </c>
      <c r="L138" s="302" t="str">
        <f t="shared" si="2"/>
        <v>EXPIRED</v>
      </c>
      <c r="M138" s="303" t="s">
        <v>823</v>
      </c>
      <c r="N138" s="304"/>
      <c r="O138" s="304"/>
      <c r="P138" s="304"/>
      <c r="Q138" s="304"/>
      <c r="R138" s="304"/>
      <c r="S138" s="304"/>
      <c r="T138" s="304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</row>
    <row r="139" ht="15.75" hidden="1" customHeight="1">
      <c r="A139" s="61" t="s">
        <v>43</v>
      </c>
      <c r="B139" s="62" t="s">
        <v>564</v>
      </c>
      <c r="C139" s="61" t="s">
        <v>48</v>
      </c>
      <c r="D139" s="61" t="s">
        <v>110</v>
      </c>
      <c r="E139" s="62" t="s">
        <v>87</v>
      </c>
      <c r="F139" s="62" t="s">
        <v>825</v>
      </c>
      <c r="G139" s="63"/>
      <c r="H139" s="85"/>
      <c r="I139" s="86" t="s">
        <v>83</v>
      </c>
      <c r="J139" s="65"/>
      <c r="K139" s="65"/>
      <c r="L139" s="68" t="str">
        <f t="shared" si="2"/>
        <v/>
      </c>
      <c r="M139" s="72"/>
      <c r="N139" s="142" t="s">
        <v>564</v>
      </c>
      <c r="O139" s="71" t="s">
        <v>565</v>
      </c>
      <c r="P139" s="142" t="s">
        <v>564</v>
      </c>
      <c r="Q139" s="72"/>
      <c r="R139" s="72"/>
      <c r="S139" s="72"/>
      <c r="T139" s="72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</row>
    <row r="140" ht="15.75" hidden="1" customHeight="1">
      <c r="A140" s="30" t="s">
        <v>43</v>
      </c>
      <c r="B140" s="33" t="s">
        <v>568</v>
      </c>
      <c r="C140" s="30" t="s">
        <v>48</v>
      </c>
      <c r="D140" s="30" t="s">
        <v>179</v>
      </c>
      <c r="E140" s="33" t="s">
        <v>72</v>
      </c>
      <c r="F140" s="268" t="s">
        <v>279</v>
      </c>
      <c r="G140" s="34"/>
      <c r="H140" s="90"/>
      <c r="I140" s="91" t="s">
        <v>83</v>
      </c>
      <c r="J140" s="38">
        <v>45413.0</v>
      </c>
      <c r="K140" s="92">
        <v>45778.0</v>
      </c>
      <c r="L140" s="47" t="str">
        <f t="shared" si="2"/>
        <v>EXPIRED</v>
      </c>
      <c r="M140" s="220" t="s">
        <v>569</v>
      </c>
      <c r="N140" s="49" t="s">
        <v>568</v>
      </c>
      <c r="O140" s="54" t="s">
        <v>570</v>
      </c>
      <c r="P140" s="110" t="s">
        <v>568</v>
      </c>
      <c r="Q140" s="57"/>
      <c r="R140" s="57"/>
      <c r="S140" s="57"/>
      <c r="T140" s="57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</row>
    <row r="141" ht="15.75" customHeight="1">
      <c r="A141" s="305"/>
      <c r="B141" s="306"/>
      <c r="C141" s="305"/>
      <c r="D141" s="61"/>
      <c r="E141" s="307"/>
      <c r="F141" s="307"/>
      <c r="G141" s="63"/>
      <c r="H141" s="225"/>
      <c r="I141" s="308"/>
      <c r="J141" s="309"/>
      <c r="K141" s="310"/>
      <c r="L141" s="111"/>
      <c r="M141" s="111"/>
      <c r="N141" s="63"/>
      <c r="O141" s="63"/>
      <c r="P141" s="63"/>
      <c r="Q141" s="63"/>
      <c r="R141" s="63"/>
      <c r="S141" s="63"/>
      <c r="T141" s="63"/>
    </row>
    <row r="142" ht="15.75" customHeight="1">
      <c r="A142" s="311"/>
      <c r="B142" s="312"/>
      <c r="C142" s="311"/>
      <c r="D142" s="311"/>
      <c r="E142" s="199"/>
      <c r="F142" s="199"/>
      <c r="G142" s="34"/>
      <c r="H142" s="233"/>
      <c r="I142" s="313"/>
      <c r="J142" s="314"/>
      <c r="K142" s="315"/>
      <c r="L142" s="98"/>
      <c r="M142" s="98"/>
      <c r="N142" s="34"/>
      <c r="O142" s="34"/>
      <c r="P142" s="34"/>
      <c r="Q142" s="34"/>
      <c r="R142" s="34"/>
      <c r="S142" s="34"/>
      <c r="T142" s="34"/>
    </row>
    <row r="143" ht="15.75" customHeight="1">
      <c r="A143" s="317"/>
      <c r="B143" s="318"/>
      <c r="C143" s="317"/>
      <c r="D143" s="317"/>
      <c r="E143" s="318"/>
      <c r="F143" s="318"/>
      <c r="G143" s="317"/>
      <c r="H143" s="317"/>
      <c r="I143" s="321"/>
      <c r="J143" s="317"/>
      <c r="K143" s="322"/>
      <c r="L143" s="317"/>
      <c r="M143" s="321"/>
      <c r="N143" s="317"/>
      <c r="O143" s="317"/>
      <c r="P143" s="317"/>
      <c r="Q143" s="317"/>
      <c r="R143" s="317"/>
      <c r="S143" s="317"/>
      <c r="T143" s="317"/>
    </row>
    <row r="144" ht="15.75" customHeight="1">
      <c r="A144" s="317"/>
      <c r="B144" s="318"/>
      <c r="C144" s="317"/>
      <c r="D144" s="317"/>
      <c r="E144" s="318"/>
      <c r="F144" s="318"/>
      <c r="G144" s="317"/>
      <c r="H144" s="327"/>
      <c r="I144" s="321"/>
      <c r="J144" s="328"/>
      <c r="K144" s="329"/>
      <c r="L144" s="317"/>
      <c r="M144" s="321"/>
      <c r="N144" s="317"/>
      <c r="O144" s="317"/>
      <c r="P144" s="317"/>
      <c r="Q144" s="317"/>
      <c r="R144" s="317"/>
      <c r="S144" s="317"/>
      <c r="T144" s="317"/>
    </row>
    <row r="145" ht="15.75" customHeight="1">
      <c r="A145" s="317"/>
      <c r="B145" s="318"/>
      <c r="C145" s="317"/>
      <c r="D145" s="317"/>
      <c r="E145" s="318"/>
      <c r="F145" s="318"/>
      <c r="G145" s="317"/>
      <c r="H145" s="327"/>
      <c r="I145" s="321"/>
      <c r="J145" s="328"/>
      <c r="K145" s="329"/>
      <c r="L145" s="317"/>
      <c r="M145" s="321"/>
      <c r="N145" s="317"/>
      <c r="O145" s="317"/>
      <c r="P145" s="317"/>
      <c r="Q145" s="317"/>
      <c r="R145" s="317"/>
      <c r="S145" s="317"/>
      <c r="T145" s="317"/>
    </row>
    <row r="146" ht="15.75" customHeight="1">
      <c r="A146" s="317"/>
      <c r="B146" s="318"/>
      <c r="C146" s="317"/>
      <c r="D146" s="317"/>
      <c r="E146" s="318"/>
      <c r="F146" s="318"/>
      <c r="G146" s="317"/>
      <c r="H146" s="317"/>
      <c r="I146" s="321"/>
      <c r="J146" s="317"/>
      <c r="K146" s="322"/>
      <c r="L146" s="317"/>
      <c r="M146" s="321"/>
      <c r="N146" s="317"/>
      <c r="O146" s="317"/>
      <c r="P146" s="317"/>
      <c r="Q146" s="317"/>
      <c r="R146" s="317"/>
      <c r="S146" s="317"/>
      <c r="T146" s="317"/>
    </row>
    <row r="147" ht="15.75" customHeight="1">
      <c r="A147" s="317"/>
      <c r="B147" s="318"/>
      <c r="C147" s="317"/>
      <c r="D147" s="317"/>
      <c r="E147" s="318"/>
      <c r="F147" s="318"/>
      <c r="G147" s="317"/>
      <c r="H147" s="317"/>
      <c r="I147" s="321"/>
      <c r="J147" s="317"/>
      <c r="K147" s="322"/>
      <c r="L147" s="317"/>
      <c r="M147" s="321"/>
      <c r="N147" s="317"/>
      <c r="O147" s="317"/>
      <c r="P147" s="317"/>
      <c r="Q147" s="317"/>
      <c r="R147" s="317"/>
      <c r="S147" s="317"/>
      <c r="T147" s="317"/>
    </row>
    <row r="148" ht="15.75" customHeight="1">
      <c r="A148" s="317"/>
      <c r="B148" s="318"/>
      <c r="C148" s="317"/>
      <c r="D148" s="317"/>
      <c r="E148" s="318"/>
      <c r="F148" s="318"/>
      <c r="G148" s="317"/>
      <c r="H148" s="317"/>
      <c r="I148" s="321"/>
      <c r="J148" s="317"/>
      <c r="K148" s="322"/>
      <c r="L148" s="317"/>
      <c r="M148" s="321"/>
      <c r="N148" s="317"/>
      <c r="O148" s="317"/>
      <c r="P148" s="317"/>
      <c r="Q148" s="317"/>
      <c r="R148" s="317"/>
      <c r="S148" s="317"/>
      <c r="T148" s="317"/>
    </row>
    <row r="149" ht="15.75" customHeight="1">
      <c r="A149" s="317"/>
      <c r="B149" s="318"/>
      <c r="C149" s="317"/>
      <c r="D149" s="317"/>
      <c r="E149" s="318"/>
      <c r="F149" s="318"/>
      <c r="G149" s="317"/>
      <c r="H149" s="317"/>
      <c r="I149" s="321"/>
      <c r="J149" s="317"/>
      <c r="K149" s="322"/>
      <c r="L149" s="317"/>
      <c r="M149" s="321"/>
      <c r="N149" s="317"/>
      <c r="O149" s="317"/>
      <c r="P149" s="317"/>
      <c r="Q149" s="317"/>
      <c r="R149" s="317"/>
      <c r="S149" s="317"/>
      <c r="T149" s="317"/>
    </row>
    <row r="150" ht="15.75" customHeight="1">
      <c r="A150" s="317"/>
      <c r="B150" s="318"/>
      <c r="C150" s="317"/>
      <c r="D150" s="317"/>
      <c r="E150" s="318"/>
      <c r="F150" s="318"/>
      <c r="G150" s="317"/>
      <c r="H150" s="317"/>
      <c r="I150" s="321"/>
      <c r="J150" s="317"/>
      <c r="K150" s="322"/>
      <c r="L150" s="317"/>
      <c r="M150" s="321"/>
      <c r="N150" s="317"/>
      <c r="O150" s="317"/>
      <c r="P150" s="317"/>
      <c r="Q150" s="317"/>
      <c r="R150" s="317"/>
      <c r="S150" s="317"/>
      <c r="T150" s="317"/>
    </row>
    <row r="151" ht="15.75" customHeight="1">
      <c r="A151" s="317"/>
      <c r="B151" s="318"/>
      <c r="C151" s="317"/>
      <c r="D151" s="317"/>
      <c r="E151" s="318"/>
      <c r="F151" s="318"/>
      <c r="G151" s="317"/>
      <c r="H151" s="317"/>
      <c r="I151" s="321"/>
      <c r="J151" s="317"/>
      <c r="K151" s="322"/>
      <c r="L151" s="317"/>
      <c r="M151" s="321"/>
      <c r="N151" s="317"/>
      <c r="O151" s="317"/>
      <c r="P151" s="317"/>
      <c r="Q151" s="317"/>
      <c r="R151" s="317"/>
      <c r="S151" s="317"/>
      <c r="T151" s="317"/>
    </row>
    <row r="152" ht="15.75" customHeight="1">
      <c r="A152" s="317"/>
      <c r="B152" s="318"/>
      <c r="C152" s="317"/>
      <c r="D152" s="317"/>
      <c r="E152" s="318"/>
      <c r="F152" s="318"/>
      <c r="G152" s="317"/>
      <c r="H152" s="317"/>
      <c r="I152" s="321"/>
      <c r="J152" s="317"/>
      <c r="K152" s="322"/>
      <c r="L152" s="317"/>
      <c r="M152" s="321"/>
      <c r="N152" s="317"/>
      <c r="O152" s="317"/>
      <c r="P152" s="317"/>
      <c r="Q152" s="317"/>
      <c r="R152" s="317"/>
      <c r="S152" s="317"/>
      <c r="T152" s="317"/>
    </row>
    <row r="153" ht="15.75" customHeight="1">
      <c r="A153" s="317"/>
      <c r="B153" s="318"/>
      <c r="C153" s="317"/>
      <c r="D153" s="317"/>
      <c r="E153" s="318"/>
      <c r="F153" s="318"/>
      <c r="G153" s="317"/>
      <c r="H153" s="317"/>
      <c r="I153" s="321"/>
      <c r="J153" s="317"/>
      <c r="K153" s="322"/>
      <c r="L153" s="317"/>
      <c r="M153" s="321"/>
      <c r="N153" s="317"/>
      <c r="O153" s="317"/>
      <c r="P153" s="317"/>
      <c r="Q153" s="317"/>
      <c r="R153" s="317"/>
      <c r="S153" s="317"/>
      <c r="T153" s="317"/>
    </row>
    <row r="154" ht="15.75" customHeight="1">
      <c r="A154" s="317"/>
      <c r="B154" s="318"/>
      <c r="C154" s="317"/>
      <c r="D154" s="317"/>
      <c r="E154" s="318"/>
      <c r="F154" s="318"/>
      <c r="G154" s="317"/>
      <c r="H154" s="317"/>
      <c r="I154" s="321"/>
      <c r="J154" s="317"/>
      <c r="K154" s="322"/>
      <c r="L154" s="317"/>
      <c r="M154" s="321"/>
      <c r="N154" s="317"/>
      <c r="O154" s="317"/>
      <c r="P154" s="317"/>
      <c r="Q154" s="317"/>
      <c r="R154" s="317"/>
      <c r="S154" s="317"/>
      <c r="T154" s="317"/>
    </row>
    <row r="155" ht="15.75" customHeight="1">
      <c r="A155" s="317"/>
      <c r="B155" s="318"/>
      <c r="C155" s="317"/>
      <c r="D155" s="317"/>
      <c r="E155" s="318"/>
      <c r="F155" s="318"/>
      <c r="G155" s="317"/>
      <c r="H155" s="317"/>
      <c r="I155" s="321"/>
      <c r="J155" s="317"/>
      <c r="K155" s="322"/>
      <c r="L155" s="317"/>
      <c r="M155" s="321"/>
      <c r="N155" s="317"/>
      <c r="O155" s="317"/>
      <c r="P155" s="317"/>
      <c r="Q155" s="317"/>
      <c r="R155" s="317"/>
      <c r="S155" s="317"/>
      <c r="T155" s="317"/>
    </row>
    <row r="156" ht="15.75" customHeight="1">
      <c r="A156" s="317"/>
      <c r="B156" s="318"/>
      <c r="C156" s="317"/>
      <c r="D156" s="317"/>
      <c r="E156" s="318"/>
      <c r="F156" s="318"/>
      <c r="G156" s="317"/>
      <c r="H156" s="317"/>
      <c r="I156" s="321"/>
      <c r="J156" s="317"/>
      <c r="K156" s="322"/>
      <c r="L156" s="317"/>
      <c r="M156" s="321"/>
      <c r="N156" s="317"/>
      <c r="O156" s="317"/>
      <c r="P156" s="317"/>
      <c r="Q156" s="317"/>
      <c r="R156" s="317"/>
      <c r="S156" s="317"/>
      <c r="T156" s="317"/>
    </row>
    <row r="157" ht="15.75" customHeight="1">
      <c r="A157" s="317"/>
      <c r="B157" s="318"/>
      <c r="C157" s="317"/>
      <c r="D157" s="317"/>
      <c r="E157" s="318"/>
      <c r="F157" s="318"/>
      <c r="G157" s="317"/>
      <c r="H157" s="317"/>
      <c r="I157" s="321"/>
      <c r="J157" s="317"/>
      <c r="K157" s="322"/>
      <c r="L157" s="317"/>
      <c r="M157" s="321"/>
      <c r="N157" s="317"/>
      <c r="O157" s="317"/>
      <c r="P157" s="317"/>
      <c r="Q157" s="317"/>
      <c r="R157" s="317"/>
      <c r="S157" s="317"/>
      <c r="T157" s="317"/>
    </row>
    <row r="158" ht="15.75" customHeight="1">
      <c r="A158" s="317"/>
      <c r="B158" s="318"/>
      <c r="C158" s="317"/>
      <c r="D158" s="317"/>
      <c r="E158" s="318"/>
      <c r="F158" s="318"/>
      <c r="G158" s="317"/>
      <c r="H158" s="317"/>
      <c r="I158" s="321"/>
      <c r="J158" s="317"/>
      <c r="K158" s="322"/>
      <c r="L158" s="317"/>
      <c r="M158" s="321"/>
      <c r="N158" s="317"/>
      <c r="O158" s="317"/>
      <c r="P158" s="317"/>
      <c r="Q158" s="317"/>
      <c r="R158" s="317"/>
      <c r="S158" s="317"/>
      <c r="T158" s="317"/>
    </row>
    <row r="159" ht="15.75" customHeight="1">
      <c r="A159" s="317"/>
      <c r="B159" s="318"/>
      <c r="C159" s="317"/>
      <c r="D159" s="317"/>
      <c r="E159" s="318"/>
      <c r="F159" s="318"/>
      <c r="G159" s="317"/>
      <c r="H159" s="317"/>
      <c r="I159" s="321"/>
      <c r="J159" s="317"/>
      <c r="K159" s="322"/>
      <c r="L159" s="317"/>
      <c r="M159" s="321"/>
      <c r="N159" s="317"/>
      <c r="O159" s="317"/>
      <c r="P159" s="317"/>
      <c r="Q159" s="317"/>
      <c r="R159" s="317"/>
      <c r="S159" s="317"/>
      <c r="T159" s="317"/>
    </row>
    <row r="160" ht="15.75" customHeight="1">
      <c r="A160" s="317"/>
      <c r="B160" s="318"/>
      <c r="C160" s="317"/>
      <c r="D160" s="317"/>
      <c r="E160" s="318"/>
      <c r="F160" s="318"/>
      <c r="G160" s="317"/>
      <c r="H160" s="317"/>
      <c r="I160" s="321"/>
      <c r="J160" s="317"/>
      <c r="K160" s="322"/>
      <c r="L160" s="317"/>
      <c r="M160" s="321"/>
      <c r="N160" s="317"/>
      <c r="O160" s="317"/>
      <c r="P160" s="317"/>
      <c r="Q160" s="317"/>
      <c r="R160" s="317"/>
      <c r="S160" s="317"/>
      <c r="T160" s="317"/>
    </row>
    <row r="161" ht="15.75" customHeight="1">
      <c r="A161" s="317"/>
      <c r="B161" s="318"/>
      <c r="C161" s="317"/>
      <c r="D161" s="317"/>
      <c r="E161" s="318"/>
      <c r="F161" s="318"/>
      <c r="G161" s="317"/>
      <c r="H161" s="317"/>
      <c r="I161" s="321"/>
      <c r="J161" s="317"/>
      <c r="K161" s="322"/>
      <c r="L161" s="317"/>
      <c r="M161" s="321"/>
      <c r="N161" s="317"/>
      <c r="O161" s="317"/>
      <c r="P161" s="317"/>
      <c r="Q161" s="317"/>
      <c r="R161" s="317"/>
      <c r="S161" s="317"/>
      <c r="T161" s="317"/>
    </row>
    <row r="162" ht="15.75" customHeight="1">
      <c r="A162" s="317"/>
      <c r="B162" s="318"/>
      <c r="C162" s="317"/>
      <c r="D162" s="317"/>
      <c r="E162" s="318"/>
      <c r="F162" s="318"/>
      <c r="G162" s="317"/>
      <c r="H162" s="317"/>
      <c r="I162" s="321"/>
      <c r="J162" s="317"/>
      <c r="K162" s="322"/>
      <c r="L162" s="317"/>
      <c r="M162" s="321"/>
      <c r="N162" s="317"/>
      <c r="O162" s="317"/>
      <c r="P162" s="317"/>
      <c r="Q162" s="317"/>
      <c r="R162" s="317"/>
      <c r="S162" s="317"/>
      <c r="T162" s="317"/>
    </row>
    <row r="163" ht="15.75" customHeight="1">
      <c r="A163" s="317"/>
      <c r="B163" s="318"/>
      <c r="C163" s="317"/>
      <c r="D163" s="317"/>
      <c r="E163" s="318"/>
      <c r="F163" s="318"/>
      <c r="G163" s="317"/>
      <c r="H163" s="317"/>
      <c r="I163" s="321"/>
      <c r="J163" s="317"/>
      <c r="K163" s="322"/>
      <c r="L163" s="317"/>
      <c r="M163" s="321"/>
      <c r="N163" s="317"/>
      <c r="O163" s="317"/>
      <c r="P163" s="317"/>
      <c r="Q163" s="317"/>
      <c r="R163" s="317"/>
      <c r="S163" s="317"/>
      <c r="T163" s="317"/>
    </row>
    <row r="164" ht="15.75" customHeight="1">
      <c r="A164" s="317"/>
      <c r="B164" s="318"/>
      <c r="C164" s="317"/>
      <c r="D164" s="317"/>
      <c r="E164" s="318"/>
      <c r="F164" s="318"/>
      <c r="G164" s="317"/>
      <c r="H164" s="317"/>
      <c r="I164" s="321"/>
      <c r="J164" s="317"/>
      <c r="K164" s="322"/>
      <c r="L164" s="317"/>
      <c r="M164" s="321"/>
      <c r="N164" s="317"/>
      <c r="O164" s="317"/>
      <c r="P164" s="317"/>
      <c r="Q164" s="317"/>
      <c r="R164" s="317"/>
      <c r="S164" s="317"/>
      <c r="T164" s="317"/>
    </row>
    <row r="165" ht="15.75" customHeight="1">
      <c r="A165" s="317"/>
      <c r="B165" s="318"/>
      <c r="C165" s="317"/>
      <c r="D165" s="317"/>
      <c r="E165" s="318"/>
      <c r="F165" s="318"/>
      <c r="G165" s="317"/>
      <c r="H165" s="317"/>
      <c r="I165" s="321"/>
      <c r="J165" s="317"/>
      <c r="K165" s="322"/>
      <c r="L165" s="317"/>
      <c r="M165" s="321"/>
      <c r="N165" s="317"/>
      <c r="O165" s="317"/>
      <c r="P165" s="317"/>
      <c r="Q165" s="317"/>
      <c r="R165" s="317"/>
      <c r="S165" s="317"/>
      <c r="T165" s="317"/>
    </row>
    <row r="166" ht="15.75" customHeight="1">
      <c r="A166" s="317"/>
      <c r="B166" s="318"/>
      <c r="C166" s="317"/>
      <c r="D166" s="317"/>
      <c r="E166" s="318"/>
      <c r="F166" s="318"/>
      <c r="G166" s="317"/>
      <c r="H166" s="317"/>
      <c r="I166" s="321"/>
      <c r="J166" s="317"/>
      <c r="K166" s="322"/>
      <c r="L166" s="317"/>
      <c r="M166" s="321"/>
      <c r="N166" s="317"/>
      <c r="O166" s="317"/>
      <c r="P166" s="317"/>
      <c r="Q166" s="317"/>
      <c r="R166" s="317"/>
      <c r="S166" s="317"/>
      <c r="T166" s="317"/>
    </row>
    <row r="167" ht="15.75" customHeight="1">
      <c r="A167" s="317"/>
      <c r="B167" s="318"/>
      <c r="C167" s="317"/>
      <c r="D167" s="317"/>
      <c r="E167" s="318"/>
      <c r="F167" s="318"/>
      <c r="G167" s="317"/>
      <c r="H167" s="317"/>
      <c r="I167" s="321"/>
      <c r="J167" s="317"/>
      <c r="K167" s="322"/>
      <c r="L167" s="317"/>
      <c r="M167" s="321"/>
      <c r="N167" s="317"/>
      <c r="O167" s="317"/>
      <c r="P167" s="317"/>
      <c r="Q167" s="317"/>
      <c r="R167" s="317"/>
      <c r="S167" s="317"/>
      <c r="T167" s="317"/>
    </row>
    <row r="168" ht="15.75" customHeight="1">
      <c r="A168" s="317"/>
      <c r="B168" s="318"/>
      <c r="C168" s="317"/>
      <c r="D168" s="317"/>
      <c r="E168" s="318"/>
      <c r="F168" s="318"/>
      <c r="G168" s="317"/>
      <c r="H168" s="317"/>
      <c r="I168" s="321"/>
      <c r="J168" s="317"/>
      <c r="K168" s="322"/>
      <c r="L168" s="317"/>
      <c r="M168" s="321"/>
      <c r="N168" s="317"/>
      <c r="O168" s="317"/>
      <c r="P168" s="317"/>
      <c r="Q168" s="317"/>
      <c r="R168" s="317"/>
      <c r="S168" s="317"/>
      <c r="T168" s="317"/>
    </row>
    <row r="169" ht="15.75" customHeight="1">
      <c r="A169" s="317"/>
      <c r="B169" s="318"/>
      <c r="C169" s="317"/>
      <c r="D169" s="317"/>
      <c r="E169" s="318"/>
      <c r="F169" s="318"/>
      <c r="G169" s="317"/>
      <c r="H169" s="317"/>
      <c r="I169" s="321"/>
      <c r="J169" s="317"/>
      <c r="K169" s="322"/>
      <c r="L169" s="317"/>
      <c r="M169" s="321"/>
      <c r="N169" s="317"/>
      <c r="O169" s="317"/>
      <c r="P169" s="317"/>
      <c r="Q169" s="317"/>
      <c r="R169" s="317"/>
      <c r="S169" s="317"/>
      <c r="T169" s="317"/>
    </row>
    <row r="170" ht="15.75" customHeight="1">
      <c r="A170" s="317"/>
      <c r="B170" s="318"/>
      <c r="C170" s="317"/>
      <c r="D170" s="317"/>
      <c r="E170" s="318"/>
      <c r="F170" s="318"/>
      <c r="G170" s="317"/>
      <c r="H170" s="317"/>
      <c r="I170" s="321"/>
      <c r="J170" s="317"/>
      <c r="K170" s="322"/>
      <c r="L170" s="317"/>
      <c r="M170" s="321"/>
      <c r="N170" s="317"/>
      <c r="O170" s="317"/>
      <c r="P170" s="317"/>
      <c r="Q170" s="317"/>
      <c r="R170" s="317"/>
      <c r="S170" s="317"/>
      <c r="T170" s="317"/>
    </row>
    <row r="171" ht="15.75" customHeight="1">
      <c r="A171" s="317"/>
      <c r="B171" s="318"/>
      <c r="C171" s="317"/>
      <c r="D171" s="317"/>
      <c r="E171" s="318"/>
      <c r="F171" s="318"/>
      <c r="G171" s="317"/>
      <c r="H171" s="317"/>
      <c r="I171" s="321"/>
      <c r="J171" s="317"/>
      <c r="K171" s="322"/>
      <c r="L171" s="317"/>
      <c r="M171" s="321"/>
      <c r="N171" s="317"/>
      <c r="O171" s="317"/>
      <c r="P171" s="317"/>
      <c r="Q171" s="317"/>
      <c r="R171" s="317"/>
      <c r="S171" s="317"/>
      <c r="T171" s="317"/>
    </row>
    <row r="172" ht="15.75" customHeight="1">
      <c r="A172" s="317"/>
      <c r="B172" s="318"/>
      <c r="C172" s="317"/>
      <c r="D172" s="317"/>
      <c r="E172" s="318"/>
      <c r="F172" s="318"/>
      <c r="G172" s="317"/>
      <c r="H172" s="317"/>
      <c r="I172" s="321"/>
      <c r="J172" s="317"/>
      <c r="K172" s="322"/>
      <c r="L172" s="317"/>
      <c r="M172" s="321"/>
      <c r="N172" s="317"/>
      <c r="O172" s="317"/>
      <c r="P172" s="317"/>
      <c r="Q172" s="317"/>
      <c r="R172" s="317"/>
      <c r="S172" s="317"/>
      <c r="T172" s="317"/>
    </row>
    <row r="173" ht="15.75" customHeight="1">
      <c r="A173" s="317"/>
      <c r="B173" s="318"/>
      <c r="C173" s="317"/>
      <c r="D173" s="317"/>
      <c r="E173" s="318"/>
      <c r="F173" s="318"/>
      <c r="G173" s="317"/>
      <c r="H173" s="317"/>
      <c r="I173" s="321"/>
      <c r="J173" s="317"/>
      <c r="K173" s="322"/>
      <c r="L173" s="317"/>
      <c r="M173" s="321"/>
      <c r="N173" s="317"/>
      <c r="O173" s="317"/>
      <c r="P173" s="317"/>
      <c r="Q173" s="317"/>
      <c r="R173" s="317"/>
      <c r="S173" s="317"/>
      <c r="T173" s="317"/>
    </row>
    <row r="174" ht="15.75" customHeight="1">
      <c r="A174" s="317"/>
      <c r="B174" s="318"/>
      <c r="C174" s="317"/>
      <c r="D174" s="317"/>
      <c r="E174" s="318"/>
      <c r="F174" s="318"/>
      <c r="G174" s="317"/>
      <c r="H174" s="317"/>
      <c r="I174" s="321"/>
      <c r="J174" s="317"/>
      <c r="K174" s="322"/>
      <c r="L174" s="317"/>
      <c r="M174" s="321"/>
      <c r="N174" s="317"/>
      <c r="O174" s="317"/>
      <c r="P174" s="317"/>
      <c r="Q174" s="317"/>
      <c r="R174" s="317"/>
      <c r="S174" s="317"/>
      <c r="T174" s="317"/>
    </row>
    <row r="175" ht="15.75" customHeight="1">
      <c r="A175" s="317"/>
      <c r="B175" s="318"/>
      <c r="C175" s="317"/>
      <c r="D175" s="317"/>
      <c r="E175" s="318"/>
      <c r="F175" s="318"/>
      <c r="G175" s="317"/>
      <c r="H175" s="317"/>
      <c r="I175" s="321"/>
      <c r="J175" s="317"/>
      <c r="K175" s="322"/>
      <c r="L175" s="317"/>
      <c r="M175" s="321"/>
      <c r="N175" s="317"/>
      <c r="O175" s="317"/>
      <c r="P175" s="317"/>
      <c r="Q175" s="317"/>
      <c r="R175" s="317"/>
      <c r="S175" s="317"/>
      <c r="T175" s="317"/>
    </row>
    <row r="176" ht="15.75" customHeight="1">
      <c r="A176" s="317"/>
      <c r="B176" s="318"/>
      <c r="C176" s="317"/>
      <c r="D176" s="317"/>
      <c r="E176" s="318"/>
      <c r="F176" s="318"/>
      <c r="G176" s="317"/>
      <c r="H176" s="317"/>
      <c r="I176" s="321"/>
      <c r="J176" s="317"/>
      <c r="K176" s="322"/>
      <c r="L176" s="317"/>
      <c r="M176" s="321"/>
      <c r="N176" s="317"/>
      <c r="O176" s="317"/>
      <c r="P176" s="317"/>
      <c r="Q176" s="317"/>
      <c r="R176" s="317"/>
      <c r="S176" s="317"/>
      <c r="T176" s="317"/>
    </row>
    <row r="177" ht="15.75" customHeight="1">
      <c r="A177" s="317"/>
      <c r="B177" s="318"/>
      <c r="C177" s="317"/>
      <c r="D177" s="317"/>
      <c r="E177" s="318"/>
      <c r="F177" s="318"/>
      <c r="G177" s="317"/>
      <c r="H177" s="317"/>
      <c r="I177" s="321"/>
      <c r="J177" s="317"/>
      <c r="K177" s="322"/>
      <c r="L177" s="317"/>
      <c r="M177" s="321"/>
      <c r="N177" s="317"/>
      <c r="O177" s="317"/>
      <c r="P177" s="317"/>
      <c r="Q177" s="317"/>
      <c r="R177" s="317"/>
      <c r="S177" s="317"/>
      <c r="T177" s="317"/>
    </row>
    <row r="178" ht="15.75" customHeight="1">
      <c r="A178" s="317"/>
      <c r="B178" s="318"/>
      <c r="C178" s="317"/>
      <c r="D178" s="317"/>
      <c r="E178" s="318"/>
      <c r="F178" s="318"/>
      <c r="G178" s="317"/>
      <c r="H178" s="317"/>
      <c r="I178" s="321"/>
      <c r="J178" s="317"/>
      <c r="K178" s="322"/>
      <c r="L178" s="317"/>
      <c r="M178" s="321"/>
      <c r="N178" s="317"/>
      <c r="O178" s="317"/>
      <c r="P178" s="317"/>
      <c r="Q178" s="317"/>
      <c r="R178" s="317"/>
      <c r="S178" s="317"/>
      <c r="T178" s="317"/>
    </row>
    <row r="179" ht="15.75" customHeight="1">
      <c r="A179" s="317"/>
      <c r="B179" s="318"/>
      <c r="C179" s="317"/>
      <c r="D179" s="317"/>
      <c r="E179" s="318"/>
      <c r="F179" s="318"/>
      <c r="G179" s="317"/>
      <c r="H179" s="317"/>
      <c r="I179" s="321"/>
      <c r="J179" s="317"/>
      <c r="K179" s="322"/>
      <c r="L179" s="317"/>
      <c r="M179" s="321"/>
      <c r="N179" s="317"/>
      <c r="O179" s="317"/>
      <c r="P179" s="317"/>
      <c r="Q179" s="317"/>
      <c r="R179" s="317"/>
      <c r="S179" s="317"/>
      <c r="T179" s="317"/>
    </row>
    <row r="180" ht="15.75" customHeight="1">
      <c r="A180" s="317"/>
      <c r="B180" s="318"/>
      <c r="C180" s="317"/>
      <c r="D180" s="317"/>
      <c r="E180" s="318"/>
      <c r="F180" s="318"/>
      <c r="G180" s="317"/>
      <c r="H180" s="317"/>
      <c r="I180" s="321"/>
      <c r="J180" s="317"/>
      <c r="K180" s="322"/>
      <c r="L180" s="317"/>
      <c r="M180" s="321"/>
      <c r="N180" s="317"/>
      <c r="O180" s="317"/>
      <c r="P180" s="317"/>
      <c r="Q180" s="317"/>
      <c r="R180" s="317"/>
      <c r="S180" s="317"/>
      <c r="T180" s="317"/>
    </row>
    <row r="181" ht="15.75" customHeight="1">
      <c r="A181" s="317"/>
      <c r="B181" s="318"/>
      <c r="C181" s="317"/>
      <c r="D181" s="317"/>
      <c r="E181" s="318"/>
      <c r="F181" s="318"/>
      <c r="G181" s="317"/>
      <c r="H181" s="317"/>
      <c r="I181" s="321"/>
      <c r="J181" s="317"/>
      <c r="K181" s="322"/>
      <c r="L181" s="317"/>
      <c r="M181" s="321"/>
      <c r="N181" s="317"/>
      <c r="O181" s="317"/>
      <c r="P181" s="317"/>
      <c r="Q181" s="317"/>
      <c r="R181" s="317"/>
      <c r="S181" s="317"/>
      <c r="T181" s="317"/>
    </row>
    <row r="182" ht="15.75" customHeight="1">
      <c r="A182" s="317"/>
      <c r="B182" s="318"/>
      <c r="C182" s="317"/>
      <c r="D182" s="317"/>
      <c r="E182" s="318"/>
      <c r="F182" s="318"/>
      <c r="G182" s="317"/>
      <c r="H182" s="317"/>
      <c r="I182" s="321"/>
      <c r="J182" s="317"/>
      <c r="K182" s="322"/>
      <c r="L182" s="317"/>
      <c r="M182" s="321"/>
      <c r="N182" s="317"/>
      <c r="O182" s="317"/>
      <c r="P182" s="317"/>
      <c r="Q182" s="317"/>
      <c r="R182" s="317"/>
      <c r="S182" s="317"/>
      <c r="T182" s="317"/>
    </row>
    <row r="183" ht="15.75" customHeight="1">
      <c r="A183" s="317"/>
      <c r="B183" s="318"/>
      <c r="C183" s="317"/>
      <c r="D183" s="317"/>
      <c r="E183" s="318"/>
      <c r="F183" s="318"/>
      <c r="G183" s="317"/>
      <c r="H183" s="317"/>
      <c r="I183" s="321"/>
      <c r="J183" s="317"/>
      <c r="K183" s="322"/>
      <c r="L183" s="317"/>
      <c r="M183" s="321"/>
      <c r="N183" s="317"/>
      <c r="O183" s="317"/>
      <c r="P183" s="317"/>
      <c r="Q183" s="317"/>
      <c r="R183" s="317"/>
      <c r="S183" s="317"/>
      <c r="T183" s="317"/>
    </row>
    <row r="184" ht="15.75" customHeight="1">
      <c r="A184" s="317"/>
      <c r="B184" s="318"/>
      <c r="C184" s="317"/>
      <c r="D184" s="317"/>
      <c r="E184" s="318"/>
      <c r="F184" s="318"/>
      <c r="G184" s="317"/>
      <c r="H184" s="317"/>
      <c r="I184" s="321"/>
      <c r="J184" s="317"/>
      <c r="K184" s="322"/>
      <c r="L184" s="317"/>
      <c r="M184" s="321"/>
      <c r="N184" s="317"/>
      <c r="O184" s="317"/>
      <c r="P184" s="317"/>
      <c r="Q184" s="317"/>
      <c r="R184" s="317"/>
      <c r="S184" s="317"/>
      <c r="T184" s="317"/>
    </row>
    <row r="185" ht="15.75" customHeight="1">
      <c r="A185" s="317"/>
      <c r="B185" s="318"/>
      <c r="C185" s="317"/>
      <c r="D185" s="317"/>
      <c r="E185" s="318"/>
      <c r="F185" s="318"/>
      <c r="G185" s="317"/>
      <c r="H185" s="327"/>
      <c r="I185" s="321"/>
      <c r="J185" s="328"/>
      <c r="K185" s="329"/>
      <c r="L185" s="317"/>
      <c r="M185" s="321"/>
      <c r="N185" s="317"/>
      <c r="O185" s="317"/>
      <c r="P185" s="317"/>
      <c r="Q185" s="317"/>
      <c r="R185" s="317"/>
      <c r="S185" s="317"/>
      <c r="T185" s="317"/>
    </row>
    <row r="186" ht="15.75" customHeight="1">
      <c r="A186" s="317"/>
      <c r="B186" s="318"/>
      <c r="C186" s="317"/>
      <c r="D186" s="317"/>
      <c r="E186" s="318"/>
      <c r="F186" s="318"/>
      <c r="G186" s="317"/>
      <c r="H186" s="327"/>
      <c r="I186" s="321"/>
      <c r="J186" s="328"/>
      <c r="K186" s="329"/>
      <c r="L186" s="317"/>
      <c r="M186" s="321"/>
      <c r="N186" s="317"/>
      <c r="O186" s="317"/>
      <c r="P186" s="317"/>
      <c r="Q186" s="317"/>
      <c r="R186" s="317"/>
      <c r="S186" s="317"/>
      <c r="T186" s="317"/>
    </row>
    <row r="187" ht="15.75" customHeight="1">
      <c r="A187" s="317"/>
      <c r="B187" s="318"/>
      <c r="C187" s="317"/>
      <c r="D187" s="317"/>
      <c r="E187" s="318"/>
      <c r="F187" s="318"/>
      <c r="G187" s="317"/>
      <c r="H187" s="327"/>
      <c r="I187" s="321"/>
      <c r="J187" s="328"/>
      <c r="K187" s="329"/>
      <c r="L187" s="317"/>
      <c r="M187" s="321"/>
      <c r="N187" s="317"/>
      <c r="O187" s="317"/>
      <c r="P187" s="317"/>
      <c r="Q187" s="317"/>
      <c r="R187" s="317"/>
      <c r="S187" s="317"/>
      <c r="T187" s="317"/>
    </row>
    <row r="188" ht="15.75" customHeight="1">
      <c r="A188" s="317"/>
      <c r="B188" s="318"/>
      <c r="C188" s="317"/>
      <c r="D188" s="317"/>
      <c r="E188" s="318"/>
      <c r="F188" s="318"/>
      <c r="G188" s="317"/>
      <c r="H188" s="327"/>
      <c r="I188" s="321"/>
      <c r="J188" s="328"/>
      <c r="K188" s="329"/>
      <c r="L188" s="317"/>
      <c r="M188" s="321"/>
      <c r="N188" s="317"/>
      <c r="O188" s="317"/>
      <c r="P188" s="317"/>
      <c r="Q188" s="317"/>
      <c r="R188" s="317"/>
      <c r="S188" s="317"/>
      <c r="T188" s="317"/>
    </row>
    <row r="189" ht="15.75" customHeight="1">
      <c r="A189" s="317"/>
      <c r="B189" s="318"/>
      <c r="C189" s="317"/>
      <c r="D189" s="317"/>
      <c r="E189" s="318"/>
      <c r="F189" s="318"/>
      <c r="G189" s="317"/>
      <c r="H189" s="327"/>
      <c r="I189" s="321"/>
      <c r="J189" s="328"/>
      <c r="K189" s="329"/>
      <c r="L189" s="317"/>
      <c r="M189" s="321"/>
      <c r="N189" s="317"/>
      <c r="O189" s="317"/>
      <c r="P189" s="317"/>
      <c r="Q189" s="317"/>
      <c r="R189" s="317"/>
      <c r="S189" s="317"/>
      <c r="T189" s="317"/>
    </row>
    <row r="190" ht="15.75" customHeight="1">
      <c r="A190" s="317"/>
      <c r="B190" s="318"/>
      <c r="C190" s="317"/>
      <c r="D190" s="317"/>
      <c r="E190" s="318"/>
      <c r="F190" s="318"/>
      <c r="G190" s="317"/>
      <c r="H190" s="327"/>
      <c r="I190" s="321"/>
      <c r="J190" s="328"/>
      <c r="K190" s="329"/>
      <c r="L190" s="317"/>
      <c r="M190" s="321"/>
      <c r="N190" s="317"/>
      <c r="O190" s="317"/>
      <c r="P190" s="317"/>
      <c r="Q190" s="317"/>
      <c r="R190" s="317"/>
      <c r="S190" s="317"/>
      <c r="T190" s="317"/>
    </row>
    <row r="191" ht="15.75" customHeight="1">
      <c r="A191" s="317"/>
      <c r="B191" s="318"/>
      <c r="C191" s="317"/>
      <c r="D191" s="317"/>
      <c r="E191" s="318"/>
      <c r="F191" s="318"/>
      <c r="G191" s="317"/>
      <c r="H191" s="327"/>
      <c r="I191" s="321"/>
      <c r="J191" s="328"/>
      <c r="K191" s="329"/>
      <c r="L191" s="317"/>
      <c r="M191" s="321"/>
      <c r="N191" s="317"/>
      <c r="O191" s="317"/>
      <c r="P191" s="317"/>
      <c r="Q191" s="317"/>
      <c r="R191" s="317"/>
      <c r="S191" s="317"/>
      <c r="T191" s="317"/>
    </row>
    <row r="192" ht="15.75" customHeight="1">
      <c r="A192" s="317"/>
      <c r="B192" s="318"/>
      <c r="C192" s="317"/>
      <c r="D192" s="317"/>
      <c r="E192" s="318"/>
      <c r="F192" s="318"/>
      <c r="G192" s="317"/>
      <c r="H192" s="327"/>
      <c r="I192" s="321"/>
      <c r="J192" s="328"/>
      <c r="K192" s="329"/>
      <c r="L192" s="317"/>
      <c r="M192" s="321"/>
      <c r="N192" s="317"/>
      <c r="O192" s="317"/>
      <c r="P192" s="317"/>
      <c r="Q192" s="317"/>
      <c r="R192" s="317"/>
      <c r="S192" s="317"/>
      <c r="T192" s="317"/>
    </row>
    <row r="193" ht="15.75" customHeight="1">
      <c r="A193" s="317"/>
      <c r="B193" s="318"/>
      <c r="C193" s="317"/>
      <c r="D193" s="317"/>
      <c r="E193" s="318"/>
      <c r="F193" s="318"/>
      <c r="G193" s="317"/>
      <c r="H193" s="327"/>
      <c r="I193" s="321"/>
      <c r="J193" s="328"/>
      <c r="K193" s="329"/>
      <c r="L193" s="317"/>
      <c r="M193" s="321"/>
      <c r="N193" s="317"/>
      <c r="O193" s="317"/>
      <c r="P193" s="317"/>
      <c r="Q193" s="317"/>
      <c r="R193" s="317"/>
      <c r="S193" s="317"/>
      <c r="T193" s="317"/>
    </row>
    <row r="194" ht="15.75" customHeight="1">
      <c r="A194" s="317"/>
      <c r="B194" s="318"/>
      <c r="C194" s="317"/>
      <c r="D194" s="317"/>
      <c r="E194" s="318"/>
      <c r="F194" s="318"/>
      <c r="G194" s="317"/>
      <c r="H194" s="327"/>
      <c r="I194" s="321"/>
      <c r="J194" s="328"/>
      <c r="K194" s="329"/>
      <c r="L194" s="317"/>
      <c r="M194" s="321"/>
      <c r="N194" s="317"/>
      <c r="O194" s="317"/>
      <c r="P194" s="317"/>
      <c r="Q194" s="317"/>
      <c r="R194" s="317"/>
      <c r="S194" s="317"/>
      <c r="T194" s="317"/>
    </row>
    <row r="195" ht="15.75" customHeight="1">
      <c r="A195" s="317"/>
      <c r="B195" s="318"/>
      <c r="C195" s="317"/>
      <c r="D195" s="317"/>
      <c r="E195" s="318"/>
      <c r="F195" s="318"/>
      <c r="G195" s="317"/>
      <c r="H195" s="327"/>
      <c r="I195" s="321"/>
      <c r="J195" s="328"/>
      <c r="K195" s="329"/>
      <c r="L195" s="317"/>
      <c r="M195" s="321"/>
      <c r="N195" s="317"/>
      <c r="O195" s="317"/>
      <c r="P195" s="317"/>
      <c r="Q195" s="317"/>
      <c r="R195" s="317"/>
      <c r="S195" s="317"/>
      <c r="T195" s="317"/>
    </row>
    <row r="196" ht="15.75" customHeight="1">
      <c r="A196" s="317"/>
      <c r="B196" s="318"/>
      <c r="C196" s="317"/>
      <c r="D196" s="317"/>
      <c r="E196" s="318"/>
      <c r="F196" s="318"/>
      <c r="G196" s="317"/>
      <c r="H196" s="327"/>
      <c r="I196" s="321"/>
      <c r="J196" s="328"/>
      <c r="K196" s="329"/>
      <c r="L196" s="317"/>
      <c r="M196" s="321"/>
      <c r="N196" s="317"/>
      <c r="O196" s="317"/>
      <c r="P196" s="317"/>
      <c r="Q196" s="317"/>
      <c r="R196" s="317"/>
      <c r="S196" s="317"/>
      <c r="T196" s="317"/>
    </row>
    <row r="197" ht="15.75" customHeight="1">
      <c r="A197" s="317"/>
      <c r="B197" s="318"/>
      <c r="C197" s="317"/>
      <c r="D197" s="317"/>
      <c r="E197" s="318"/>
      <c r="F197" s="318"/>
      <c r="G197" s="317"/>
      <c r="H197" s="327"/>
      <c r="I197" s="321"/>
      <c r="J197" s="328"/>
      <c r="K197" s="329"/>
      <c r="L197" s="317"/>
      <c r="M197" s="321"/>
      <c r="N197" s="317"/>
      <c r="O197" s="317"/>
      <c r="P197" s="317"/>
      <c r="Q197" s="317"/>
      <c r="R197" s="317"/>
      <c r="S197" s="317"/>
      <c r="T197" s="317"/>
    </row>
    <row r="198" ht="15.75" customHeight="1">
      <c r="A198" s="317"/>
      <c r="B198" s="318"/>
      <c r="C198" s="317"/>
      <c r="D198" s="317"/>
      <c r="E198" s="318"/>
      <c r="F198" s="318"/>
      <c r="G198" s="317"/>
      <c r="H198" s="327"/>
      <c r="I198" s="321"/>
      <c r="J198" s="328"/>
      <c r="K198" s="329"/>
      <c r="L198" s="317"/>
      <c r="M198" s="321"/>
      <c r="N198" s="317"/>
      <c r="O198" s="317"/>
      <c r="P198" s="317"/>
      <c r="Q198" s="317"/>
      <c r="R198" s="317"/>
      <c r="S198" s="317"/>
      <c r="T198" s="317"/>
    </row>
    <row r="199" ht="15.75" customHeight="1">
      <c r="A199" s="317"/>
      <c r="B199" s="318"/>
      <c r="C199" s="317"/>
      <c r="D199" s="317"/>
      <c r="E199" s="318"/>
      <c r="F199" s="318"/>
      <c r="G199" s="317"/>
      <c r="H199" s="327"/>
      <c r="I199" s="321"/>
      <c r="J199" s="328"/>
      <c r="K199" s="329"/>
      <c r="L199" s="317"/>
      <c r="M199" s="321"/>
      <c r="N199" s="317"/>
      <c r="O199" s="317"/>
      <c r="P199" s="317"/>
      <c r="Q199" s="317"/>
      <c r="R199" s="317"/>
      <c r="S199" s="317"/>
      <c r="T199" s="317"/>
    </row>
    <row r="200" ht="15.75" customHeight="1">
      <c r="A200" s="317"/>
      <c r="B200" s="318"/>
      <c r="C200" s="317"/>
      <c r="D200" s="317"/>
      <c r="E200" s="318"/>
      <c r="F200" s="318"/>
      <c r="G200" s="317"/>
      <c r="H200" s="327"/>
      <c r="I200" s="321"/>
      <c r="J200" s="328"/>
      <c r="K200" s="329"/>
      <c r="L200" s="317"/>
      <c r="M200" s="321"/>
      <c r="N200" s="317"/>
      <c r="O200" s="317"/>
      <c r="P200" s="317"/>
      <c r="Q200" s="317"/>
      <c r="R200" s="317"/>
      <c r="S200" s="317"/>
      <c r="T200" s="317"/>
    </row>
    <row r="201" ht="15.75" customHeight="1">
      <c r="A201" s="317"/>
      <c r="B201" s="318"/>
      <c r="C201" s="317"/>
      <c r="D201" s="317"/>
      <c r="E201" s="318"/>
      <c r="F201" s="318"/>
      <c r="G201" s="317"/>
      <c r="H201" s="327"/>
      <c r="I201" s="321"/>
      <c r="J201" s="328"/>
      <c r="K201" s="329"/>
      <c r="L201" s="317"/>
      <c r="M201" s="321"/>
      <c r="N201" s="317"/>
      <c r="O201" s="317"/>
      <c r="P201" s="317"/>
      <c r="Q201" s="317"/>
      <c r="R201" s="317"/>
      <c r="S201" s="317"/>
      <c r="T201" s="317"/>
    </row>
    <row r="202" ht="15.75" customHeight="1">
      <c r="A202" s="352"/>
      <c r="B202" s="353"/>
      <c r="C202" s="352"/>
      <c r="D202" s="352"/>
      <c r="E202" s="353"/>
      <c r="F202" s="353"/>
      <c r="G202" s="317"/>
      <c r="H202" s="354"/>
      <c r="I202" s="355"/>
      <c r="J202" s="356"/>
      <c r="K202" s="357"/>
      <c r="L202" s="321"/>
      <c r="M202" s="355"/>
      <c r="N202" s="352"/>
      <c r="O202" s="352"/>
      <c r="P202" s="352"/>
      <c r="Q202" s="352"/>
      <c r="R202" s="352"/>
      <c r="S202" s="352"/>
      <c r="T202" s="352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</row>
    <row r="203" ht="15.75" customHeight="1">
      <c r="A203" s="352"/>
      <c r="B203" s="353"/>
      <c r="C203" s="352"/>
      <c r="D203" s="352"/>
      <c r="E203" s="353"/>
      <c r="F203" s="353"/>
      <c r="G203" s="317"/>
      <c r="H203" s="354"/>
      <c r="I203" s="355"/>
      <c r="J203" s="356"/>
      <c r="K203" s="357"/>
      <c r="L203" s="321"/>
      <c r="M203" s="355"/>
      <c r="N203" s="352"/>
      <c r="O203" s="352"/>
      <c r="P203" s="352"/>
      <c r="Q203" s="352"/>
      <c r="R203" s="352"/>
      <c r="S203" s="352"/>
      <c r="T203" s="352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</row>
    <row r="204" ht="15.75" customHeight="1">
      <c r="A204" s="352"/>
      <c r="B204" s="353"/>
      <c r="C204" s="352"/>
      <c r="D204" s="352"/>
      <c r="E204" s="353"/>
      <c r="F204" s="353"/>
      <c r="G204" s="317"/>
      <c r="H204" s="354"/>
      <c r="I204" s="355"/>
      <c r="J204" s="356"/>
      <c r="K204" s="357"/>
      <c r="L204" s="321"/>
      <c r="M204" s="355"/>
      <c r="N204" s="352"/>
      <c r="O204" s="352"/>
      <c r="P204" s="352"/>
      <c r="Q204" s="352"/>
      <c r="R204" s="352"/>
      <c r="S204" s="352"/>
      <c r="T204" s="352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</row>
    <row r="205" ht="15.75" customHeight="1">
      <c r="A205" s="352"/>
      <c r="B205" s="353"/>
      <c r="C205" s="352"/>
      <c r="D205" s="352"/>
      <c r="E205" s="353"/>
      <c r="F205" s="353"/>
      <c r="G205" s="317"/>
      <c r="H205" s="354"/>
      <c r="I205" s="355"/>
      <c r="J205" s="356"/>
      <c r="K205" s="357"/>
      <c r="L205" s="321"/>
      <c r="M205" s="355"/>
      <c r="N205" s="352"/>
      <c r="O205" s="352"/>
      <c r="P205" s="352"/>
      <c r="Q205" s="352"/>
      <c r="R205" s="352"/>
      <c r="S205" s="352"/>
      <c r="T205" s="352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</row>
    <row r="206" ht="15.75" customHeight="1">
      <c r="A206" s="352"/>
      <c r="B206" s="353"/>
      <c r="C206" s="352"/>
      <c r="D206" s="352"/>
      <c r="E206" s="353"/>
      <c r="F206" s="353"/>
      <c r="G206" s="317"/>
      <c r="H206" s="354"/>
      <c r="I206" s="355"/>
      <c r="J206" s="356"/>
      <c r="K206" s="357"/>
      <c r="L206" s="321"/>
      <c r="M206" s="355"/>
      <c r="N206" s="352"/>
      <c r="O206" s="352"/>
      <c r="P206" s="352"/>
      <c r="Q206" s="352"/>
      <c r="R206" s="352"/>
      <c r="S206" s="352"/>
      <c r="T206" s="352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</row>
    <row r="207" ht="15.75" customHeight="1">
      <c r="A207" s="352"/>
      <c r="B207" s="353"/>
      <c r="C207" s="352"/>
      <c r="D207" s="352"/>
      <c r="E207" s="353"/>
      <c r="F207" s="353"/>
      <c r="G207" s="317"/>
      <c r="H207" s="354"/>
      <c r="I207" s="355"/>
      <c r="J207" s="356"/>
      <c r="K207" s="357"/>
      <c r="L207" s="321"/>
      <c r="M207" s="355"/>
      <c r="N207" s="352"/>
      <c r="O207" s="352"/>
      <c r="P207" s="352"/>
      <c r="Q207" s="352"/>
      <c r="R207" s="352"/>
      <c r="S207" s="352"/>
      <c r="T207" s="352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</row>
    <row r="208" ht="15.75" customHeight="1">
      <c r="A208" s="352"/>
      <c r="B208" s="353"/>
      <c r="C208" s="352"/>
      <c r="D208" s="352"/>
      <c r="E208" s="353"/>
      <c r="F208" s="353"/>
      <c r="G208" s="317"/>
      <c r="H208" s="354"/>
      <c r="I208" s="355"/>
      <c r="J208" s="356"/>
      <c r="K208" s="357"/>
      <c r="L208" s="321"/>
      <c r="M208" s="355"/>
      <c r="N208" s="352"/>
      <c r="O208" s="352"/>
      <c r="P208" s="352"/>
      <c r="Q208" s="352"/>
      <c r="R208" s="352"/>
      <c r="S208" s="352"/>
      <c r="T208" s="352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</row>
    <row r="209" ht="15.75" customHeight="1">
      <c r="A209" s="352"/>
      <c r="B209" s="353"/>
      <c r="C209" s="352"/>
      <c r="D209" s="352"/>
      <c r="E209" s="353"/>
      <c r="F209" s="353"/>
      <c r="G209" s="317"/>
      <c r="H209" s="354"/>
      <c r="I209" s="355"/>
      <c r="J209" s="356"/>
      <c r="K209" s="357"/>
      <c r="L209" s="321"/>
      <c r="M209" s="355"/>
      <c r="N209" s="352"/>
      <c r="O209" s="352"/>
      <c r="P209" s="352"/>
      <c r="Q209" s="352"/>
      <c r="R209" s="352"/>
      <c r="S209" s="352"/>
      <c r="T209" s="352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</row>
    <row r="210" ht="15.75" customHeight="1">
      <c r="A210" s="352"/>
      <c r="B210" s="353"/>
      <c r="C210" s="352"/>
      <c r="D210" s="352"/>
      <c r="E210" s="353"/>
      <c r="F210" s="353"/>
      <c r="G210" s="317"/>
      <c r="H210" s="354"/>
      <c r="I210" s="355"/>
      <c r="J210" s="356"/>
      <c r="K210" s="357"/>
      <c r="L210" s="321"/>
      <c r="M210" s="355"/>
      <c r="N210" s="352"/>
      <c r="O210" s="352"/>
      <c r="P210" s="352"/>
      <c r="Q210" s="352"/>
      <c r="R210" s="352"/>
      <c r="S210" s="352"/>
      <c r="T210" s="352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</row>
    <row r="211" ht="15.75" customHeight="1">
      <c r="A211" s="352"/>
      <c r="B211" s="353"/>
      <c r="C211" s="352"/>
      <c r="D211" s="352"/>
      <c r="E211" s="353"/>
      <c r="F211" s="353"/>
      <c r="G211" s="317"/>
      <c r="H211" s="354"/>
      <c r="I211" s="355"/>
      <c r="J211" s="356"/>
      <c r="K211" s="357"/>
      <c r="L211" s="321"/>
      <c r="M211" s="355"/>
      <c r="N211" s="352"/>
      <c r="O211" s="352"/>
      <c r="P211" s="352"/>
      <c r="Q211" s="352"/>
      <c r="R211" s="352"/>
      <c r="S211" s="352"/>
      <c r="T211" s="352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</row>
    <row r="212" ht="15.75" customHeight="1">
      <c r="A212" s="352"/>
      <c r="B212" s="353"/>
      <c r="C212" s="352"/>
      <c r="D212" s="352"/>
      <c r="E212" s="353"/>
      <c r="F212" s="353"/>
      <c r="G212" s="317"/>
      <c r="H212" s="354"/>
      <c r="I212" s="355"/>
      <c r="J212" s="356"/>
      <c r="K212" s="357"/>
      <c r="L212" s="321"/>
      <c r="M212" s="355"/>
      <c r="N212" s="352"/>
      <c r="O212" s="352"/>
      <c r="P212" s="352"/>
      <c r="Q212" s="352"/>
      <c r="R212" s="352"/>
      <c r="S212" s="352"/>
      <c r="T212" s="352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</row>
    <row r="213" ht="15.75" customHeight="1">
      <c r="A213" s="352"/>
      <c r="B213" s="353"/>
      <c r="C213" s="352"/>
      <c r="D213" s="352"/>
      <c r="E213" s="353"/>
      <c r="F213" s="353"/>
      <c r="G213" s="317"/>
      <c r="H213" s="354"/>
      <c r="I213" s="355"/>
      <c r="J213" s="356"/>
      <c r="K213" s="357"/>
      <c r="L213" s="321"/>
      <c r="M213" s="355"/>
      <c r="N213" s="352"/>
      <c r="O213" s="352"/>
      <c r="P213" s="352"/>
      <c r="Q213" s="352"/>
      <c r="R213" s="352"/>
      <c r="S213" s="352"/>
      <c r="T213" s="352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</row>
    <row r="214" ht="15.75" customHeight="1">
      <c r="A214" s="352"/>
      <c r="B214" s="353"/>
      <c r="C214" s="352"/>
      <c r="D214" s="352"/>
      <c r="E214" s="353"/>
      <c r="F214" s="353"/>
      <c r="G214" s="317"/>
      <c r="H214" s="354"/>
      <c r="I214" s="355"/>
      <c r="J214" s="356"/>
      <c r="K214" s="357"/>
      <c r="L214" s="321"/>
      <c r="M214" s="355"/>
      <c r="N214" s="352"/>
      <c r="O214" s="352"/>
      <c r="P214" s="352"/>
      <c r="Q214" s="352"/>
      <c r="R214" s="352"/>
      <c r="S214" s="352"/>
      <c r="T214" s="352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</row>
    <row r="215" ht="15.75" customHeight="1">
      <c r="A215" s="352"/>
      <c r="B215" s="353"/>
      <c r="C215" s="352"/>
      <c r="D215" s="352"/>
      <c r="E215" s="353"/>
      <c r="F215" s="353"/>
      <c r="G215" s="317"/>
      <c r="H215" s="354"/>
      <c r="I215" s="355"/>
      <c r="J215" s="356"/>
      <c r="K215" s="357"/>
      <c r="L215" s="321"/>
      <c r="M215" s="355"/>
      <c r="N215" s="352"/>
      <c r="O215" s="352"/>
      <c r="P215" s="352"/>
      <c r="Q215" s="352"/>
      <c r="R215" s="352"/>
      <c r="S215" s="352"/>
      <c r="T215" s="352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</row>
    <row r="216" ht="15.75" customHeight="1">
      <c r="A216" s="352"/>
      <c r="B216" s="353"/>
      <c r="C216" s="352"/>
      <c r="D216" s="352"/>
      <c r="E216" s="353"/>
      <c r="F216" s="353"/>
      <c r="G216" s="317"/>
      <c r="H216" s="354"/>
      <c r="I216" s="355"/>
      <c r="J216" s="356"/>
      <c r="K216" s="357"/>
      <c r="L216" s="321"/>
      <c r="M216" s="355"/>
      <c r="N216" s="352"/>
      <c r="O216" s="352"/>
      <c r="P216" s="352"/>
      <c r="Q216" s="352"/>
      <c r="R216" s="352"/>
      <c r="S216" s="352"/>
      <c r="T216" s="352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</row>
    <row r="217" ht="15.75" customHeight="1">
      <c r="A217" s="352"/>
      <c r="B217" s="353"/>
      <c r="C217" s="352"/>
      <c r="D217" s="352"/>
      <c r="E217" s="353"/>
      <c r="F217" s="353"/>
      <c r="G217" s="317"/>
      <c r="H217" s="354"/>
      <c r="I217" s="355"/>
      <c r="J217" s="356"/>
      <c r="K217" s="357"/>
      <c r="L217" s="321"/>
      <c r="M217" s="355"/>
      <c r="N217" s="352"/>
      <c r="O217" s="352"/>
      <c r="P217" s="352"/>
      <c r="Q217" s="352"/>
      <c r="R217" s="352"/>
      <c r="S217" s="352"/>
      <c r="T217" s="352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</row>
    <row r="218" ht="15.75" customHeight="1">
      <c r="A218" s="352"/>
      <c r="B218" s="353"/>
      <c r="C218" s="352"/>
      <c r="D218" s="352"/>
      <c r="E218" s="353"/>
      <c r="F218" s="353"/>
      <c r="G218" s="317"/>
      <c r="H218" s="354"/>
      <c r="I218" s="355"/>
      <c r="J218" s="356"/>
      <c r="K218" s="357"/>
      <c r="L218" s="321"/>
      <c r="M218" s="355"/>
      <c r="N218" s="352"/>
      <c r="O218" s="352"/>
      <c r="P218" s="352"/>
      <c r="Q218" s="352"/>
      <c r="R218" s="352"/>
      <c r="S218" s="352"/>
      <c r="T218" s="352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</row>
    <row r="219" ht="15.75" customHeight="1">
      <c r="A219" s="352"/>
      <c r="B219" s="353"/>
      <c r="C219" s="352"/>
      <c r="D219" s="352"/>
      <c r="E219" s="353"/>
      <c r="F219" s="353"/>
      <c r="G219" s="317"/>
      <c r="H219" s="354"/>
      <c r="I219" s="355"/>
      <c r="J219" s="356"/>
      <c r="K219" s="357"/>
      <c r="L219" s="321"/>
      <c r="M219" s="355"/>
      <c r="N219" s="352"/>
      <c r="O219" s="352"/>
      <c r="P219" s="352"/>
      <c r="Q219" s="352"/>
      <c r="R219" s="352"/>
      <c r="S219" s="352"/>
      <c r="T219" s="352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</row>
    <row r="220" ht="15.75" customHeight="1">
      <c r="A220" s="352"/>
      <c r="B220" s="353"/>
      <c r="C220" s="352"/>
      <c r="D220" s="352"/>
      <c r="E220" s="353"/>
      <c r="F220" s="353"/>
      <c r="G220" s="317"/>
      <c r="H220" s="354"/>
      <c r="I220" s="355"/>
      <c r="J220" s="356"/>
      <c r="K220" s="357"/>
      <c r="L220" s="321"/>
      <c r="M220" s="355"/>
      <c r="N220" s="352"/>
      <c r="O220" s="352"/>
      <c r="P220" s="352"/>
      <c r="Q220" s="352"/>
      <c r="R220" s="352"/>
      <c r="S220" s="352"/>
      <c r="T220" s="352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</row>
    <row r="221" ht="15.75" customHeight="1">
      <c r="A221" s="352"/>
      <c r="B221" s="353"/>
      <c r="C221" s="352"/>
      <c r="D221" s="352"/>
      <c r="E221" s="353"/>
      <c r="F221" s="353"/>
      <c r="G221" s="317"/>
      <c r="H221" s="354"/>
      <c r="I221" s="355"/>
      <c r="J221" s="356"/>
      <c r="K221" s="357"/>
      <c r="L221" s="321"/>
      <c r="M221" s="355"/>
      <c r="N221" s="352"/>
      <c r="O221" s="352"/>
      <c r="P221" s="352"/>
      <c r="Q221" s="352"/>
      <c r="R221" s="352"/>
      <c r="S221" s="352"/>
      <c r="T221" s="352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</row>
    <row r="222" ht="15.75" customHeight="1">
      <c r="A222" s="352"/>
      <c r="B222" s="353"/>
      <c r="C222" s="352"/>
      <c r="D222" s="352"/>
      <c r="E222" s="353"/>
      <c r="F222" s="353"/>
      <c r="G222" s="317"/>
      <c r="H222" s="354"/>
      <c r="I222" s="355"/>
      <c r="J222" s="356"/>
      <c r="K222" s="357"/>
      <c r="L222" s="321"/>
      <c r="M222" s="355"/>
      <c r="N222" s="352"/>
      <c r="O222" s="352"/>
      <c r="P222" s="352"/>
      <c r="Q222" s="352"/>
      <c r="R222" s="352"/>
      <c r="S222" s="352"/>
      <c r="T222" s="352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</row>
    <row r="223" ht="15.75" customHeight="1">
      <c r="A223" s="352"/>
      <c r="B223" s="353"/>
      <c r="C223" s="352"/>
      <c r="D223" s="352"/>
      <c r="E223" s="353"/>
      <c r="F223" s="353"/>
      <c r="G223" s="317"/>
      <c r="H223" s="354"/>
      <c r="I223" s="355"/>
      <c r="J223" s="356"/>
      <c r="K223" s="357"/>
      <c r="L223" s="321"/>
      <c r="M223" s="355"/>
      <c r="N223" s="352"/>
      <c r="O223" s="352"/>
      <c r="P223" s="352"/>
      <c r="Q223" s="352"/>
      <c r="R223" s="352"/>
      <c r="S223" s="352"/>
      <c r="T223" s="352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</row>
    <row r="224" ht="15.75" customHeight="1">
      <c r="A224" s="352"/>
      <c r="B224" s="353"/>
      <c r="C224" s="352"/>
      <c r="D224" s="352"/>
      <c r="E224" s="353"/>
      <c r="F224" s="353"/>
      <c r="G224" s="317"/>
      <c r="H224" s="354"/>
      <c r="I224" s="355"/>
      <c r="J224" s="356"/>
      <c r="K224" s="357"/>
      <c r="L224" s="321"/>
      <c r="M224" s="355"/>
      <c r="N224" s="352"/>
      <c r="O224" s="352"/>
      <c r="P224" s="352"/>
      <c r="Q224" s="352"/>
      <c r="R224" s="352"/>
      <c r="S224" s="352"/>
      <c r="T224" s="352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</row>
    <row r="225" ht="15.75" customHeight="1">
      <c r="A225" s="352"/>
      <c r="B225" s="353"/>
      <c r="C225" s="352"/>
      <c r="D225" s="352"/>
      <c r="E225" s="353"/>
      <c r="F225" s="353"/>
      <c r="G225" s="317"/>
      <c r="H225" s="354"/>
      <c r="I225" s="355"/>
      <c r="J225" s="356"/>
      <c r="K225" s="357"/>
      <c r="L225" s="321"/>
      <c r="M225" s="355"/>
      <c r="N225" s="352"/>
      <c r="O225" s="352"/>
      <c r="P225" s="352"/>
      <c r="Q225" s="352"/>
      <c r="R225" s="352"/>
      <c r="S225" s="352"/>
      <c r="T225" s="352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</row>
    <row r="226" ht="15.75" customHeight="1">
      <c r="A226" s="352"/>
      <c r="B226" s="353"/>
      <c r="C226" s="352"/>
      <c r="D226" s="352"/>
      <c r="E226" s="353"/>
      <c r="F226" s="353"/>
      <c r="G226" s="317"/>
      <c r="H226" s="354"/>
      <c r="I226" s="355"/>
      <c r="J226" s="356"/>
      <c r="K226" s="357"/>
      <c r="L226" s="321"/>
      <c r="M226" s="355"/>
      <c r="N226" s="352"/>
      <c r="O226" s="352"/>
      <c r="P226" s="352"/>
      <c r="Q226" s="352"/>
      <c r="R226" s="352"/>
      <c r="S226" s="352"/>
      <c r="T226" s="352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</row>
    <row r="227" ht="15.75" customHeight="1">
      <c r="A227" s="352"/>
      <c r="B227" s="353"/>
      <c r="C227" s="352"/>
      <c r="D227" s="352"/>
      <c r="E227" s="353"/>
      <c r="F227" s="353"/>
      <c r="G227" s="317"/>
      <c r="H227" s="354"/>
      <c r="I227" s="355"/>
      <c r="J227" s="356"/>
      <c r="K227" s="357"/>
      <c r="L227" s="321"/>
      <c r="M227" s="355"/>
      <c r="N227" s="352"/>
      <c r="O227" s="352"/>
      <c r="P227" s="352"/>
      <c r="Q227" s="352"/>
      <c r="R227" s="352"/>
      <c r="S227" s="352"/>
      <c r="T227" s="352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</row>
    <row r="228" ht="15.75" customHeight="1">
      <c r="A228" s="352"/>
      <c r="B228" s="353"/>
      <c r="C228" s="352"/>
      <c r="D228" s="352"/>
      <c r="E228" s="353"/>
      <c r="F228" s="353"/>
      <c r="G228" s="317"/>
      <c r="H228" s="354"/>
      <c r="I228" s="355"/>
      <c r="J228" s="356"/>
      <c r="K228" s="357"/>
      <c r="L228" s="321"/>
      <c r="M228" s="355"/>
      <c r="N228" s="352"/>
      <c r="O228" s="352"/>
      <c r="P228" s="352"/>
      <c r="Q228" s="352"/>
      <c r="R228" s="352"/>
      <c r="S228" s="352"/>
      <c r="T228" s="352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</row>
    <row r="229" ht="15.75" customHeight="1">
      <c r="A229" s="352"/>
      <c r="B229" s="353"/>
      <c r="C229" s="352"/>
      <c r="D229" s="352"/>
      <c r="E229" s="353"/>
      <c r="F229" s="353"/>
      <c r="G229" s="317"/>
      <c r="H229" s="354"/>
      <c r="I229" s="355"/>
      <c r="J229" s="356"/>
      <c r="K229" s="357"/>
      <c r="L229" s="321"/>
      <c r="M229" s="355"/>
      <c r="N229" s="352"/>
      <c r="O229" s="352"/>
      <c r="P229" s="352"/>
      <c r="Q229" s="352"/>
      <c r="R229" s="352"/>
      <c r="S229" s="352"/>
      <c r="T229" s="352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</row>
    <row r="230" ht="15.75" customHeight="1">
      <c r="A230" s="352"/>
      <c r="B230" s="353"/>
      <c r="C230" s="352"/>
      <c r="D230" s="352"/>
      <c r="E230" s="353"/>
      <c r="F230" s="353"/>
      <c r="G230" s="317"/>
      <c r="H230" s="354"/>
      <c r="I230" s="355"/>
      <c r="J230" s="356"/>
      <c r="K230" s="357"/>
      <c r="L230" s="321"/>
      <c r="M230" s="355"/>
      <c r="N230" s="352"/>
      <c r="O230" s="352"/>
      <c r="P230" s="352"/>
      <c r="Q230" s="352"/>
      <c r="R230" s="352"/>
      <c r="S230" s="352"/>
      <c r="T230" s="352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</row>
    <row r="231" ht="15.75" customHeight="1">
      <c r="A231" s="352"/>
      <c r="B231" s="353"/>
      <c r="C231" s="352"/>
      <c r="D231" s="352"/>
      <c r="E231" s="353"/>
      <c r="F231" s="353"/>
      <c r="G231" s="317"/>
      <c r="H231" s="354"/>
      <c r="I231" s="355"/>
      <c r="J231" s="356"/>
      <c r="K231" s="357"/>
      <c r="L231" s="321"/>
      <c r="M231" s="355"/>
      <c r="N231" s="352"/>
      <c r="O231" s="352"/>
      <c r="P231" s="352"/>
      <c r="Q231" s="352"/>
      <c r="R231" s="352"/>
      <c r="S231" s="352"/>
      <c r="T231" s="352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</row>
    <row r="232" ht="15.75" customHeight="1">
      <c r="A232" s="352"/>
      <c r="B232" s="353"/>
      <c r="C232" s="352"/>
      <c r="D232" s="352"/>
      <c r="E232" s="353"/>
      <c r="F232" s="353"/>
      <c r="G232" s="317"/>
      <c r="H232" s="354"/>
      <c r="I232" s="355"/>
      <c r="J232" s="356"/>
      <c r="K232" s="357"/>
      <c r="L232" s="321"/>
      <c r="M232" s="355"/>
      <c r="N232" s="352"/>
      <c r="O232" s="352"/>
      <c r="P232" s="352"/>
      <c r="Q232" s="352"/>
      <c r="R232" s="352"/>
      <c r="S232" s="352"/>
      <c r="T232" s="352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</row>
    <row r="233" ht="15.75" customHeight="1">
      <c r="A233" s="352"/>
      <c r="B233" s="353"/>
      <c r="C233" s="352"/>
      <c r="D233" s="352"/>
      <c r="E233" s="353"/>
      <c r="F233" s="353"/>
      <c r="G233" s="317"/>
      <c r="H233" s="354"/>
      <c r="I233" s="355"/>
      <c r="J233" s="356"/>
      <c r="K233" s="357"/>
      <c r="L233" s="321"/>
      <c r="M233" s="355"/>
      <c r="N233" s="352"/>
      <c r="O233" s="352"/>
      <c r="P233" s="352"/>
      <c r="Q233" s="352"/>
      <c r="R233" s="352"/>
      <c r="S233" s="352"/>
      <c r="T233" s="352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</row>
    <row r="234" ht="15.75" customHeight="1">
      <c r="A234" s="352"/>
      <c r="B234" s="353"/>
      <c r="C234" s="352"/>
      <c r="D234" s="352"/>
      <c r="E234" s="353"/>
      <c r="F234" s="353"/>
      <c r="G234" s="317"/>
      <c r="H234" s="354"/>
      <c r="I234" s="355"/>
      <c r="J234" s="356"/>
      <c r="K234" s="357"/>
      <c r="L234" s="321"/>
      <c r="M234" s="355"/>
      <c r="N234" s="352"/>
      <c r="O234" s="352"/>
      <c r="P234" s="352"/>
      <c r="Q234" s="352"/>
      <c r="R234" s="352"/>
      <c r="S234" s="352"/>
      <c r="T234" s="352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</row>
    <row r="235" ht="15.75" customHeight="1">
      <c r="A235" s="352"/>
      <c r="B235" s="353"/>
      <c r="C235" s="352"/>
      <c r="D235" s="352"/>
      <c r="E235" s="353"/>
      <c r="F235" s="353"/>
      <c r="G235" s="317"/>
      <c r="H235" s="354"/>
      <c r="I235" s="355"/>
      <c r="J235" s="356"/>
      <c r="K235" s="357"/>
      <c r="L235" s="321"/>
      <c r="M235" s="355"/>
      <c r="N235" s="352"/>
      <c r="O235" s="352"/>
      <c r="P235" s="352"/>
      <c r="Q235" s="352"/>
      <c r="R235" s="352"/>
      <c r="S235" s="352"/>
      <c r="T235" s="352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</row>
    <row r="236" ht="15.75" customHeight="1">
      <c r="A236" s="352"/>
      <c r="B236" s="353"/>
      <c r="C236" s="352"/>
      <c r="D236" s="352"/>
      <c r="E236" s="353"/>
      <c r="F236" s="353"/>
      <c r="G236" s="317"/>
      <c r="H236" s="354"/>
      <c r="I236" s="355"/>
      <c r="J236" s="356"/>
      <c r="K236" s="357"/>
      <c r="L236" s="321"/>
      <c r="M236" s="355"/>
      <c r="N236" s="352"/>
      <c r="O236" s="352"/>
      <c r="P236" s="352"/>
      <c r="Q236" s="352"/>
      <c r="R236" s="352"/>
      <c r="S236" s="352"/>
      <c r="T236" s="352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</row>
    <row r="237" ht="15.75" customHeight="1">
      <c r="A237" s="352"/>
      <c r="B237" s="353"/>
      <c r="C237" s="352"/>
      <c r="D237" s="352"/>
      <c r="E237" s="353"/>
      <c r="F237" s="353"/>
      <c r="G237" s="317"/>
      <c r="H237" s="354"/>
      <c r="I237" s="355"/>
      <c r="J237" s="356"/>
      <c r="K237" s="357"/>
      <c r="L237" s="321"/>
      <c r="M237" s="355"/>
      <c r="N237" s="352"/>
      <c r="O237" s="352"/>
      <c r="P237" s="352"/>
      <c r="Q237" s="352"/>
      <c r="R237" s="352"/>
      <c r="S237" s="352"/>
      <c r="T237" s="352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</row>
    <row r="238" ht="15.75" customHeight="1">
      <c r="A238" s="352"/>
      <c r="B238" s="353"/>
      <c r="C238" s="352"/>
      <c r="D238" s="352"/>
      <c r="E238" s="353"/>
      <c r="F238" s="353"/>
      <c r="G238" s="317"/>
      <c r="H238" s="354"/>
      <c r="I238" s="355"/>
      <c r="J238" s="356"/>
      <c r="K238" s="357"/>
      <c r="L238" s="321"/>
      <c r="M238" s="355"/>
      <c r="N238" s="352"/>
      <c r="O238" s="352"/>
      <c r="P238" s="352"/>
      <c r="Q238" s="352"/>
      <c r="R238" s="352"/>
      <c r="S238" s="352"/>
      <c r="T238" s="352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</row>
    <row r="239" ht="15.75" customHeight="1">
      <c r="A239" s="352"/>
      <c r="B239" s="353"/>
      <c r="C239" s="352"/>
      <c r="D239" s="352"/>
      <c r="E239" s="353"/>
      <c r="F239" s="353"/>
      <c r="G239" s="317"/>
      <c r="H239" s="354"/>
      <c r="I239" s="355"/>
      <c r="J239" s="356"/>
      <c r="K239" s="357"/>
      <c r="L239" s="321"/>
      <c r="M239" s="355"/>
      <c r="N239" s="352"/>
      <c r="O239" s="352"/>
      <c r="P239" s="352"/>
      <c r="Q239" s="352"/>
      <c r="R239" s="352"/>
      <c r="S239" s="352"/>
      <c r="T239" s="352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</row>
    <row r="240" ht="15.75" customHeight="1">
      <c r="A240" s="352"/>
      <c r="B240" s="353"/>
      <c r="C240" s="352"/>
      <c r="D240" s="352"/>
      <c r="E240" s="353"/>
      <c r="F240" s="353"/>
      <c r="G240" s="317"/>
      <c r="H240" s="354"/>
      <c r="I240" s="355"/>
      <c r="J240" s="356"/>
      <c r="K240" s="357"/>
      <c r="L240" s="321"/>
      <c r="M240" s="355"/>
      <c r="N240" s="352"/>
      <c r="O240" s="352"/>
      <c r="P240" s="352"/>
      <c r="Q240" s="352"/>
      <c r="R240" s="352"/>
      <c r="S240" s="352"/>
      <c r="T240" s="352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</row>
    <row r="241" ht="15.75" customHeight="1">
      <c r="A241" s="352"/>
      <c r="B241" s="353"/>
      <c r="C241" s="352"/>
      <c r="D241" s="352"/>
      <c r="E241" s="353"/>
      <c r="F241" s="353"/>
      <c r="G241" s="317"/>
      <c r="H241" s="354"/>
      <c r="I241" s="355"/>
      <c r="J241" s="356"/>
      <c r="K241" s="357"/>
      <c r="L241" s="321"/>
      <c r="M241" s="355"/>
      <c r="N241" s="352"/>
      <c r="O241" s="352"/>
      <c r="P241" s="352"/>
      <c r="Q241" s="352"/>
      <c r="R241" s="352"/>
      <c r="S241" s="352"/>
      <c r="T241" s="352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</row>
    <row r="242" ht="15.75" customHeight="1">
      <c r="A242" s="352"/>
      <c r="B242" s="353"/>
      <c r="C242" s="352"/>
      <c r="D242" s="352"/>
      <c r="E242" s="353"/>
      <c r="F242" s="353"/>
      <c r="G242" s="317"/>
      <c r="H242" s="354"/>
      <c r="I242" s="355"/>
      <c r="J242" s="356"/>
      <c r="K242" s="357"/>
      <c r="L242" s="321"/>
      <c r="M242" s="355"/>
      <c r="N242" s="352"/>
      <c r="O242" s="352"/>
      <c r="P242" s="352"/>
      <c r="Q242" s="352"/>
      <c r="R242" s="352"/>
      <c r="S242" s="352"/>
      <c r="T242" s="352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</row>
    <row r="243" ht="15.75" customHeight="1">
      <c r="A243" s="352"/>
      <c r="B243" s="353"/>
      <c r="C243" s="352"/>
      <c r="D243" s="352"/>
      <c r="E243" s="353"/>
      <c r="F243" s="353"/>
      <c r="G243" s="317"/>
      <c r="H243" s="354"/>
      <c r="I243" s="355"/>
      <c r="J243" s="356"/>
      <c r="K243" s="357"/>
      <c r="L243" s="321"/>
      <c r="M243" s="355"/>
      <c r="N243" s="352"/>
      <c r="O243" s="352"/>
      <c r="P243" s="352"/>
      <c r="Q243" s="352"/>
      <c r="R243" s="352"/>
      <c r="S243" s="352"/>
      <c r="T243" s="352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</row>
    <row r="244" ht="15.75" customHeight="1">
      <c r="A244" s="352"/>
      <c r="B244" s="353"/>
      <c r="C244" s="352"/>
      <c r="D244" s="352"/>
      <c r="E244" s="353"/>
      <c r="F244" s="353"/>
      <c r="G244" s="317"/>
      <c r="H244" s="354"/>
      <c r="I244" s="355"/>
      <c r="J244" s="356"/>
      <c r="K244" s="357"/>
      <c r="L244" s="321"/>
      <c r="M244" s="355"/>
      <c r="N244" s="352"/>
      <c r="O244" s="352"/>
      <c r="P244" s="352"/>
      <c r="Q244" s="352"/>
      <c r="R244" s="352"/>
      <c r="S244" s="352"/>
      <c r="T244" s="352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</row>
    <row r="245" ht="15.75" customHeight="1">
      <c r="A245" s="352"/>
      <c r="B245" s="353"/>
      <c r="C245" s="352"/>
      <c r="D245" s="352"/>
      <c r="E245" s="353"/>
      <c r="F245" s="353"/>
      <c r="G245" s="317"/>
      <c r="H245" s="354"/>
      <c r="I245" s="355"/>
      <c r="J245" s="356"/>
      <c r="K245" s="357"/>
      <c r="L245" s="321"/>
      <c r="M245" s="355"/>
      <c r="N245" s="352"/>
      <c r="O245" s="352"/>
      <c r="P245" s="352"/>
      <c r="Q245" s="352"/>
      <c r="R245" s="352"/>
      <c r="S245" s="352"/>
      <c r="T245" s="352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</row>
    <row r="246" ht="15.75" customHeight="1">
      <c r="A246" s="352"/>
      <c r="B246" s="353"/>
      <c r="C246" s="352"/>
      <c r="D246" s="352"/>
      <c r="E246" s="353"/>
      <c r="F246" s="353"/>
      <c r="G246" s="317"/>
      <c r="H246" s="354"/>
      <c r="I246" s="355"/>
      <c r="J246" s="356"/>
      <c r="K246" s="357"/>
      <c r="L246" s="321"/>
      <c r="M246" s="355"/>
      <c r="N246" s="352"/>
      <c r="O246" s="352"/>
      <c r="P246" s="352"/>
      <c r="Q246" s="352"/>
      <c r="R246" s="352"/>
      <c r="S246" s="352"/>
      <c r="T246" s="352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</row>
    <row r="247" ht="15.75" customHeight="1">
      <c r="A247" s="352"/>
      <c r="B247" s="353"/>
      <c r="C247" s="352"/>
      <c r="D247" s="352"/>
      <c r="E247" s="353"/>
      <c r="F247" s="353"/>
      <c r="G247" s="317"/>
      <c r="H247" s="354"/>
      <c r="I247" s="355"/>
      <c r="J247" s="356"/>
      <c r="K247" s="357"/>
      <c r="L247" s="321"/>
      <c r="M247" s="355"/>
      <c r="N247" s="352"/>
      <c r="O247" s="352"/>
      <c r="P247" s="352"/>
      <c r="Q247" s="352"/>
      <c r="R247" s="352"/>
      <c r="S247" s="352"/>
      <c r="T247" s="352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</row>
    <row r="248" ht="15.75" customHeight="1">
      <c r="A248" s="352"/>
      <c r="B248" s="353"/>
      <c r="C248" s="352"/>
      <c r="D248" s="352"/>
      <c r="E248" s="353"/>
      <c r="F248" s="353"/>
      <c r="G248" s="317"/>
      <c r="H248" s="354"/>
      <c r="I248" s="355"/>
      <c r="J248" s="356"/>
      <c r="K248" s="357"/>
      <c r="L248" s="321"/>
      <c r="M248" s="355"/>
      <c r="N248" s="352"/>
      <c r="O248" s="352"/>
      <c r="P248" s="352"/>
      <c r="Q248" s="352"/>
      <c r="R248" s="352"/>
      <c r="S248" s="352"/>
      <c r="T248" s="352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</row>
    <row r="249" ht="15.75" customHeight="1">
      <c r="A249" s="352"/>
      <c r="B249" s="353"/>
      <c r="C249" s="352"/>
      <c r="D249" s="352"/>
      <c r="E249" s="353"/>
      <c r="F249" s="353"/>
      <c r="G249" s="317"/>
      <c r="H249" s="354"/>
      <c r="I249" s="355"/>
      <c r="J249" s="356"/>
      <c r="K249" s="357"/>
      <c r="L249" s="321"/>
      <c r="M249" s="355"/>
      <c r="N249" s="352"/>
      <c r="O249" s="352"/>
      <c r="P249" s="352"/>
      <c r="Q249" s="352"/>
      <c r="R249" s="352"/>
      <c r="S249" s="352"/>
      <c r="T249" s="352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</row>
    <row r="250" ht="15.75" customHeight="1">
      <c r="A250" s="352"/>
      <c r="B250" s="353"/>
      <c r="C250" s="352"/>
      <c r="D250" s="352"/>
      <c r="E250" s="353"/>
      <c r="F250" s="353"/>
      <c r="G250" s="317"/>
      <c r="H250" s="354"/>
      <c r="I250" s="355"/>
      <c r="J250" s="356"/>
      <c r="K250" s="357"/>
      <c r="L250" s="321"/>
      <c r="M250" s="355"/>
      <c r="N250" s="352"/>
      <c r="O250" s="352"/>
      <c r="P250" s="352"/>
      <c r="Q250" s="352"/>
      <c r="R250" s="352"/>
      <c r="S250" s="352"/>
      <c r="T250" s="352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</row>
    <row r="251" ht="15.75" customHeight="1">
      <c r="A251" s="352"/>
      <c r="B251" s="353"/>
      <c r="C251" s="352"/>
      <c r="D251" s="352"/>
      <c r="E251" s="353"/>
      <c r="F251" s="353"/>
      <c r="G251" s="317"/>
      <c r="H251" s="354"/>
      <c r="I251" s="355"/>
      <c r="J251" s="356"/>
      <c r="K251" s="357"/>
      <c r="L251" s="321"/>
      <c r="M251" s="355"/>
      <c r="N251" s="352"/>
      <c r="O251" s="352"/>
      <c r="P251" s="352"/>
      <c r="Q251" s="352"/>
      <c r="R251" s="352"/>
      <c r="S251" s="352"/>
      <c r="T251" s="352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</row>
    <row r="252" ht="15.75" customHeight="1">
      <c r="A252" s="352"/>
      <c r="B252" s="353"/>
      <c r="C252" s="352"/>
      <c r="D252" s="352"/>
      <c r="E252" s="353"/>
      <c r="F252" s="353"/>
      <c r="G252" s="317"/>
      <c r="H252" s="354"/>
      <c r="I252" s="355"/>
      <c r="J252" s="356"/>
      <c r="K252" s="357"/>
      <c r="L252" s="321"/>
      <c r="M252" s="355"/>
      <c r="N252" s="352"/>
      <c r="O252" s="352"/>
      <c r="P252" s="352"/>
      <c r="Q252" s="352"/>
      <c r="R252" s="352"/>
      <c r="S252" s="352"/>
      <c r="T252" s="352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</row>
    <row r="253" ht="15.75" customHeight="1">
      <c r="A253" s="352"/>
      <c r="B253" s="353"/>
      <c r="C253" s="352"/>
      <c r="D253" s="352"/>
      <c r="E253" s="353"/>
      <c r="F253" s="353"/>
      <c r="G253" s="317"/>
      <c r="H253" s="354"/>
      <c r="I253" s="355"/>
      <c r="J253" s="356"/>
      <c r="K253" s="357"/>
      <c r="L253" s="321"/>
      <c r="M253" s="355"/>
      <c r="N253" s="352"/>
      <c r="O253" s="352"/>
      <c r="P253" s="352"/>
      <c r="Q253" s="352"/>
      <c r="R253" s="352"/>
      <c r="S253" s="352"/>
      <c r="T253" s="352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</row>
    <row r="254" ht="15.75" customHeight="1">
      <c r="A254" s="352"/>
      <c r="B254" s="353"/>
      <c r="C254" s="352"/>
      <c r="D254" s="352"/>
      <c r="E254" s="353"/>
      <c r="F254" s="353"/>
      <c r="G254" s="317"/>
      <c r="H254" s="354"/>
      <c r="I254" s="355"/>
      <c r="J254" s="356"/>
      <c r="K254" s="357"/>
      <c r="L254" s="321"/>
      <c r="M254" s="355"/>
      <c r="N254" s="352"/>
      <c r="O254" s="352"/>
      <c r="P254" s="352"/>
      <c r="Q254" s="352"/>
      <c r="R254" s="352"/>
      <c r="S254" s="352"/>
      <c r="T254" s="352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</row>
    <row r="255" ht="15.75" customHeight="1">
      <c r="A255" s="352"/>
      <c r="B255" s="353"/>
      <c r="C255" s="352"/>
      <c r="D255" s="352"/>
      <c r="E255" s="353"/>
      <c r="F255" s="353"/>
      <c r="G255" s="317"/>
      <c r="H255" s="354"/>
      <c r="I255" s="355"/>
      <c r="J255" s="356"/>
      <c r="K255" s="357"/>
      <c r="L255" s="321"/>
      <c r="M255" s="355"/>
      <c r="N255" s="352"/>
      <c r="O255" s="352"/>
      <c r="P255" s="352"/>
      <c r="Q255" s="352"/>
      <c r="R255" s="352"/>
      <c r="S255" s="352"/>
      <c r="T255" s="352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</row>
    <row r="256" ht="15.75" customHeight="1">
      <c r="A256" s="352"/>
      <c r="B256" s="353"/>
      <c r="C256" s="352"/>
      <c r="D256" s="352"/>
      <c r="E256" s="353"/>
      <c r="F256" s="353"/>
      <c r="G256" s="317"/>
      <c r="H256" s="354"/>
      <c r="I256" s="355"/>
      <c r="J256" s="356"/>
      <c r="K256" s="357"/>
      <c r="L256" s="321"/>
      <c r="M256" s="355"/>
      <c r="N256" s="352"/>
      <c r="O256" s="352"/>
      <c r="P256" s="352"/>
      <c r="Q256" s="352"/>
      <c r="R256" s="352"/>
      <c r="S256" s="352"/>
      <c r="T256" s="352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</row>
    <row r="257" ht="15.75" customHeight="1">
      <c r="A257" s="352"/>
      <c r="B257" s="353"/>
      <c r="C257" s="352"/>
      <c r="D257" s="352"/>
      <c r="E257" s="353"/>
      <c r="F257" s="353"/>
      <c r="G257" s="317"/>
      <c r="H257" s="354"/>
      <c r="I257" s="355"/>
      <c r="J257" s="356"/>
      <c r="K257" s="357"/>
      <c r="L257" s="321"/>
      <c r="M257" s="355"/>
      <c r="N257" s="352"/>
      <c r="O257" s="352"/>
      <c r="P257" s="352"/>
      <c r="Q257" s="352"/>
      <c r="R257" s="352"/>
      <c r="S257" s="352"/>
      <c r="T257" s="352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</row>
    <row r="258" ht="15.75" customHeight="1">
      <c r="A258" s="352"/>
      <c r="B258" s="353"/>
      <c r="C258" s="352"/>
      <c r="D258" s="352"/>
      <c r="E258" s="353"/>
      <c r="F258" s="353"/>
      <c r="G258" s="317"/>
      <c r="H258" s="354"/>
      <c r="I258" s="355"/>
      <c r="J258" s="356"/>
      <c r="K258" s="357"/>
      <c r="L258" s="321"/>
      <c r="M258" s="355"/>
      <c r="N258" s="352"/>
      <c r="O258" s="352"/>
      <c r="P258" s="352"/>
      <c r="Q258" s="352"/>
      <c r="R258" s="352"/>
      <c r="S258" s="352"/>
      <c r="T258" s="352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</row>
    <row r="259" ht="15.75" customHeight="1">
      <c r="A259" s="352"/>
      <c r="B259" s="353"/>
      <c r="C259" s="352"/>
      <c r="D259" s="352"/>
      <c r="E259" s="353"/>
      <c r="F259" s="353"/>
      <c r="G259" s="317"/>
      <c r="H259" s="354"/>
      <c r="I259" s="355"/>
      <c r="J259" s="356"/>
      <c r="K259" s="357"/>
      <c r="L259" s="321"/>
      <c r="M259" s="355"/>
      <c r="N259" s="352"/>
      <c r="O259" s="352"/>
      <c r="P259" s="352"/>
      <c r="Q259" s="352"/>
      <c r="R259" s="352"/>
      <c r="S259" s="352"/>
      <c r="T259" s="352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</row>
    <row r="260" ht="15.75" customHeight="1">
      <c r="A260" s="352"/>
      <c r="B260" s="353"/>
      <c r="C260" s="352"/>
      <c r="D260" s="352"/>
      <c r="E260" s="353"/>
      <c r="F260" s="353"/>
      <c r="G260" s="317"/>
      <c r="H260" s="354"/>
      <c r="I260" s="355"/>
      <c r="J260" s="356"/>
      <c r="K260" s="357"/>
      <c r="L260" s="321"/>
      <c r="M260" s="355"/>
      <c r="N260" s="352"/>
      <c r="O260" s="352"/>
      <c r="P260" s="352"/>
      <c r="Q260" s="352"/>
      <c r="R260" s="352"/>
      <c r="S260" s="352"/>
      <c r="T260" s="352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</row>
    <row r="261" ht="15.75" customHeight="1">
      <c r="A261" s="352"/>
      <c r="B261" s="353"/>
      <c r="C261" s="352"/>
      <c r="D261" s="352"/>
      <c r="E261" s="353"/>
      <c r="F261" s="353"/>
      <c r="G261" s="317"/>
      <c r="H261" s="354"/>
      <c r="I261" s="355"/>
      <c r="J261" s="356"/>
      <c r="K261" s="357"/>
      <c r="L261" s="321"/>
      <c r="M261" s="355"/>
      <c r="N261" s="352"/>
      <c r="O261" s="352"/>
      <c r="P261" s="352"/>
      <c r="Q261" s="352"/>
      <c r="R261" s="352"/>
      <c r="S261" s="352"/>
      <c r="T261" s="352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</row>
    <row r="262" ht="15.75" customHeight="1">
      <c r="A262" s="352"/>
      <c r="B262" s="353"/>
      <c r="C262" s="352"/>
      <c r="D262" s="352"/>
      <c r="E262" s="353"/>
      <c r="F262" s="353"/>
      <c r="G262" s="317"/>
      <c r="H262" s="354"/>
      <c r="I262" s="355"/>
      <c r="J262" s="356"/>
      <c r="K262" s="357"/>
      <c r="L262" s="321"/>
      <c r="M262" s="355"/>
      <c r="N262" s="352"/>
      <c r="O262" s="352"/>
      <c r="P262" s="352"/>
      <c r="Q262" s="352"/>
      <c r="R262" s="352"/>
      <c r="S262" s="352"/>
      <c r="T262" s="352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</row>
    <row r="263" ht="15.75" customHeight="1">
      <c r="A263" s="352"/>
      <c r="B263" s="353"/>
      <c r="C263" s="352"/>
      <c r="D263" s="352"/>
      <c r="E263" s="353"/>
      <c r="F263" s="353"/>
      <c r="G263" s="317"/>
      <c r="H263" s="354"/>
      <c r="I263" s="355"/>
      <c r="J263" s="356"/>
      <c r="K263" s="357"/>
      <c r="L263" s="321"/>
      <c r="M263" s="355"/>
      <c r="N263" s="352"/>
      <c r="O263" s="352"/>
      <c r="P263" s="352"/>
      <c r="Q263" s="352"/>
      <c r="R263" s="352"/>
      <c r="S263" s="352"/>
      <c r="T263" s="352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</row>
    <row r="264" ht="15.75" customHeight="1">
      <c r="A264" s="352"/>
      <c r="B264" s="353"/>
      <c r="C264" s="352"/>
      <c r="D264" s="352"/>
      <c r="E264" s="353"/>
      <c r="F264" s="353"/>
      <c r="G264" s="317"/>
      <c r="H264" s="354"/>
      <c r="I264" s="355"/>
      <c r="J264" s="356"/>
      <c r="K264" s="357"/>
      <c r="L264" s="321"/>
      <c r="M264" s="355"/>
      <c r="N264" s="352"/>
      <c r="O264" s="352"/>
      <c r="P264" s="352"/>
      <c r="Q264" s="352"/>
      <c r="R264" s="352"/>
      <c r="S264" s="352"/>
      <c r="T264" s="352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</row>
    <row r="265" ht="15.75" customHeight="1">
      <c r="A265" s="352"/>
      <c r="B265" s="353"/>
      <c r="C265" s="352"/>
      <c r="D265" s="352"/>
      <c r="E265" s="353"/>
      <c r="F265" s="353"/>
      <c r="G265" s="317"/>
      <c r="H265" s="354"/>
      <c r="I265" s="355"/>
      <c r="J265" s="356"/>
      <c r="K265" s="357"/>
      <c r="L265" s="321"/>
      <c r="M265" s="355"/>
      <c r="N265" s="352"/>
      <c r="O265" s="352"/>
      <c r="P265" s="352"/>
      <c r="Q265" s="352"/>
      <c r="R265" s="352"/>
      <c r="S265" s="352"/>
      <c r="T265" s="352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</row>
    <row r="266" ht="15.75" customHeight="1">
      <c r="A266" s="352"/>
      <c r="B266" s="353"/>
      <c r="C266" s="352"/>
      <c r="D266" s="352"/>
      <c r="E266" s="353"/>
      <c r="F266" s="353"/>
      <c r="G266" s="317"/>
      <c r="H266" s="354"/>
      <c r="I266" s="355"/>
      <c r="J266" s="356"/>
      <c r="K266" s="357"/>
      <c r="L266" s="321"/>
      <c r="M266" s="355"/>
      <c r="N266" s="352"/>
      <c r="O266" s="352"/>
      <c r="P266" s="352"/>
      <c r="Q266" s="352"/>
      <c r="R266" s="352"/>
      <c r="S266" s="352"/>
      <c r="T266" s="352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</row>
    <row r="267" ht="15.75" customHeight="1">
      <c r="A267" s="352"/>
      <c r="B267" s="353"/>
      <c r="C267" s="352"/>
      <c r="D267" s="352"/>
      <c r="E267" s="353"/>
      <c r="F267" s="353"/>
      <c r="G267" s="317"/>
      <c r="H267" s="354"/>
      <c r="I267" s="355"/>
      <c r="J267" s="356"/>
      <c r="K267" s="357"/>
      <c r="L267" s="321"/>
      <c r="M267" s="355"/>
      <c r="N267" s="352"/>
      <c r="O267" s="352"/>
      <c r="P267" s="352"/>
      <c r="Q267" s="352"/>
      <c r="R267" s="352"/>
      <c r="S267" s="352"/>
      <c r="T267" s="352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</row>
    <row r="268" ht="15.75" customHeight="1">
      <c r="A268" s="352"/>
      <c r="B268" s="353"/>
      <c r="C268" s="352"/>
      <c r="D268" s="352"/>
      <c r="E268" s="353"/>
      <c r="F268" s="353"/>
      <c r="G268" s="317"/>
      <c r="H268" s="354"/>
      <c r="I268" s="355"/>
      <c r="J268" s="356"/>
      <c r="K268" s="357"/>
      <c r="L268" s="321"/>
      <c r="M268" s="355"/>
      <c r="N268" s="352"/>
      <c r="O268" s="352"/>
      <c r="P268" s="352"/>
      <c r="Q268" s="352"/>
      <c r="R268" s="352"/>
      <c r="S268" s="352"/>
      <c r="T268" s="352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</row>
    <row r="269" ht="15.75" customHeight="1">
      <c r="A269" s="352"/>
      <c r="B269" s="353"/>
      <c r="C269" s="352"/>
      <c r="D269" s="352"/>
      <c r="E269" s="353"/>
      <c r="F269" s="353"/>
      <c r="G269" s="317"/>
      <c r="H269" s="354"/>
      <c r="I269" s="355"/>
      <c r="J269" s="356"/>
      <c r="K269" s="357"/>
      <c r="L269" s="321"/>
      <c r="M269" s="355"/>
      <c r="N269" s="352"/>
      <c r="O269" s="352"/>
      <c r="P269" s="352"/>
      <c r="Q269" s="352"/>
      <c r="R269" s="352"/>
      <c r="S269" s="352"/>
      <c r="T269" s="352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</row>
    <row r="270" ht="15.75" customHeight="1">
      <c r="A270" s="352"/>
      <c r="B270" s="353"/>
      <c r="C270" s="352"/>
      <c r="D270" s="352"/>
      <c r="E270" s="353"/>
      <c r="F270" s="353"/>
      <c r="G270" s="317"/>
      <c r="H270" s="354"/>
      <c r="I270" s="355"/>
      <c r="J270" s="356"/>
      <c r="K270" s="357"/>
      <c r="L270" s="321"/>
      <c r="M270" s="355"/>
      <c r="N270" s="352"/>
      <c r="O270" s="352"/>
      <c r="P270" s="352"/>
      <c r="Q270" s="352"/>
      <c r="R270" s="352"/>
      <c r="S270" s="352"/>
      <c r="T270" s="352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</row>
    <row r="271" ht="15.75" customHeight="1">
      <c r="A271" s="352"/>
      <c r="B271" s="353"/>
      <c r="C271" s="352"/>
      <c r="D271" s="352"/>
      <c r="E271" s="353"/>
      <c r="F271" s="353"/>
      <c r="G271" s="317"/>
      <c r="H271" s="354"/>
      <c r="I271" s="355"/>
      <c r="J271" s="356"/>
      <c r="K271" s="357"/>
      <c r="L271" s="321"/>
      <c r="M271" s="355"/>
      <c r="N271" s="352"/>
      <c r="O271" s="352"/>
      <c r="P271" s="352"/>
      <c r="Q271" s="352"/>
      <c r="R271" s="352"/>
      <c r="S271" s="352"/>
      <c r="T271" s="352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</row>
    <row r="272" ht="15.75" customHeight="1">
      <c r="A272" s="352"/>
      <c r="B272" s="353"/>
      <c r="C272" s="352"/>
      <c r="D272" s="352"/>
      <c r="E272" s="353"/>
      <c r="F272" s="353"/>
      <c r="G272" s="317"/>
      <c r="H272" s="354"/>
      <c r="I272" s="355"/>
      <c r="J272" s="356"/>
      <c r="K272" s="357"/>
      <c r="L272" s="321"/>
      <c r="M272" s="355"/>
      <c r="N272" s="352"/>
      <c r="O272" s="352"/>
      <c r="P272" s="352"/>
      <c r="Q272" s="352"/>
      <c r="R272" s="352"/>
      <c r="S272" s="352"/>
      <c r="T272" s="352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</row>
    <row r="273" ht="15.75" customHeight="1">
      <c r="A273" s="352"/>
      <c r="B273" s="353"/>
      <c r="C273" s="352"/>
      <c r="D273" s="352"/>
      <c r="E273" s="353"/>
      <c r="F273" s="353"/>
      <c r="G273" s="317"/>
      <c r="H273" s="354"/>
      <c r="I273" s="355"/>
      <c r="J273" s="356"/>
      <c r="K273" s="357"/>
      <c r="L273" s="321"/>
      <c r="M273" s="355"/>
      <c r="N273" s="352"/>
      <c r="O273" s="352"/>
      <c r="P273" s="352"/>
      <c r="Q273" s="352"/>
      <c r="R273" s="352"/>
      <c r="S273" s="352"/>
      <c r="T273" s="352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</row>
    <row r="274" ht="15.75" customHeight="1">
      <c r="A274" s="352"/>
      <c r="B274" s="353"/>
      <c r="C274" s="352"/>
      <c r="D274" s="352"/>
      <c r="E274" s="353"/>
      <c r="F274" s="353"/>
      <c r="G274" s="317"/>
      <c r="H274" s="354"/>
      <c r="I274" s="355"/>
      <c r="J274" s="356"/>
      <c r="K274" s="357"/>
      <c r="L274" s="321"/>
      <c r="M274" s="355"/>
      <c r="N274" s="352"/>
      <c r="O274" s="352"/>
      <c r="P274" s="352"/>
      <c r="Q274" s="352"/>
      <c r="R274" s="352"/>
      <c r="S274" s="352"/>
      <c r="T274" s="352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</row>
    <row r="275" ht="15.75" customHeight="1">
      <c r="A275" s="352"/>
      <c r="B275" s="353"/>
      <c r="C275" s="352"/>
      <c r="D275" s="352"/>
      <c r="E275" s="353"/>
      <c r="F275" s="353"/>
      <c r="G275" s="317"/>
      <c r="H275" s="354"/>
      <c r="I275" s="355"/>
      <c r="J275" s="356"/>
      <c r="K275" s="357"/>
      <c r="L275" s="321"/>
      <c r="M275" s="355"/>
      <c r="N275" s="352"/>
      <c r="O275" s="352"/>
      <c r="P275" s="352"/>
      <c r="Q275" s="352"/>
      <c r="R275" s="352"/>
      <c r="S275" s="352"/>
      <c r="T275" s="352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</row>
    <row r="276" ht="15.75" customHeight="1">
      <c r="A276" s="352"/>
      <c r="B276" s="353"/>
      <c r="C276" s="352"/>
      <c r="D276" s="352"/>
      <c r="E276" s="353"/>
      <c r="F276" s="353"/>
      <c r="G276" s="317"/>
      <c r="H276" s="354"/>
      <c r="I276" s="355"/>
      <c r="J276" s="356"/>
      <c r="K276" s="357"/>
      <c r="L276" s="321"/>
      <c r="M276" s="355"/>
      <c r="N276" s="352"/>
      <c r="O276" s="352"/>
      <c r="P276" s="352"/>
      <c r="Q276" s="352"/>
      <c r="R276" s="352"/>
      <c r="S276" s="352"/>
      <c r="T276" s="352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</row>
    <row r="277" ht="15.75" customHeight="1">
      <c r="A277" s="352"/>
      <c r="B277" s="353"/>
      <c r="C277" s="352"/>
      <c r="D277" s="352"/>
      <c r="E277" s="353"/>
      <c r="F277" s="353"/>
      <c r="G277" s="317"/>
      <c r="H277" s="354"/>
      <c r="I277" s="355"/>
      <c r="J277" s="356"/>
      <c r="K277" s="357"/>
      <c r="L277" s="321"/>
      <c r="M277" s="355"/>
      <c r="N277" s="352"/>
      <c r="O277" s="352"/>
      <c r="P277" s="352"/>
      <c r="Q277" s="352"/>
      <c r="R277" s="352"/>
      <c r="S277" s="352"/>
      <c r="T277" s="352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</row>
    <row r="278" ht="15.75" customHeight="1">
      <c r="A278" s="352"/>
      <c r="B278" s="353"/>
      <c r="C278" s="352"/>
      <c r="D278" s="352"/>
      <c r="E278" s="353"/>
      <c r="F278" s="353"/>
      <c r="G278" s="317"/>
      <c r="H278" s="354"/>
      <c r="I278" s="355"/>
      <c r="J278" s="356"/>
      <c r="K278" s="357"/>
      <c r="L278" s="321"/>
      <c r="M278" s="355"/>
      <c r="N278" s="352"/>
      <c r="O278" s="352"/>
      <c r="P278" s="352"/>
      <c r="Q278" s="352"/>
      <c r="R278" s="352"/>
      <c r="S278" s="352"/>
      <c r="T278" s="352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</row>
    <row r="279" ht="15.75" customHeight="1">
      <c r="A279" s="352"/>
      <c r="B279" s="353"/>
      <c r="C279" s="352"/>
      <c r="D279" s="352"/>
      <c r="E279" s="353"/>
      <c r="F279" s="353"/>
      <c r="G279" s="317"/>
      <c r="H279" s="354"/>
      <c r="I279" s="355"/>
      <c r="J279" s="356"/>
      <c r="K279" s="357"/>
      <c r="L279" s="321"/>
      <c r="M279" s="355"/>
      <c r="N279" s="352"/>
      <c r="O279" s="352"/>
      <c r="P279" s="352"/>
      <c r="Q279" s="352"/>
      <c r="R279" s="352"/>
      <c r="S279" s="352"/>
      <c r="T279" s="352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</row>
    <row r="280" ht="15.75" customHeight="1">
      <c r="A280" s="352"/>
      <c r="B280" s="353"/>
      <c r="C280" s="352"/>
      <c r="D280" s="352"/>
      <c r="E280" s="353"/>
      <c r="F280" s="353"/>
      <c r="G280" s="317"/>
      <c r="H280" s="354"/>
      <c r="I280" s="355"/>
      <c r="J280" s="356"/>
      <c r="K280" s="357"/>
      <c r="L280" s="321"/>
      <c r="M280" s="355"/>
      <c r="N280" s="352"/>
      <c r="O280" s="352"/>
      <c r="P280" s="352"/>
      <c r="Q280" s="352"/>
      <c r="R280" s="352"/>
      <c r="S280" s="352"/>
      <c r="T280" s="352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</row>
    <row r="281" ht="15.75" customHeight="1">
      <c r="A281" s="352"/>
      <c r="B281" s="353"/>
      <c r="C281" s="352"/>
      <c r="D281" s="352"/>
      <c r="E281" s="353"/>
      <c r="F281" s="353"/>
      <c r="G281" s="317"/>
      <c r="H281" s="354"/>
      <c r="I281" s="355"/>
      <c r="J281" s="356"/>
      <c r="K281" s="357"/>
      <c r="L281" s="321"/>
      <c r="M281" s="355"/>
      <c r="N281" s="352"/>
      <c r="O281" s="352"/>
      <c r="P281" s="352"/>
      <c r="Q281" s="352"/>
      <c r="R281" s="352"/>
      <c r="S281" s="352"/>
      <c r="T281" s="352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</row>
    <row r="282" ht="15.75" customHeight="1">
      <c r="A282" s="352"/>
      <c r="B282" s="353"/>
      <c r="C282" s="352"/>
      <c r="D282" s="352"/>
      <c r="E282" s="353"/>
      <c r="F282" s="353"/>
      <c r="G282" s="317"/>
      <c r="H282" s="354"/>
      <c r="I282" s="355"/>
      <c r="J282" s="356"/>
      <c r="K282" s="357"/>
      <c r="L282" s="321"/>
      <c r="M282" s="355"/>
      <c r="N282" s="352"/>
      <c r="O282" s="352"/>
      <c r="P282" s="352"/>
      <c r="Q282" s="352"/>
      <c r="R282" s="352"/>
      <c r="S282" s="352"/>
      <c r="T282" s="352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</row>
    <row r="283" ht="15.75" customHeight="1">
      <c r="A283" s="352"/>
      <c r="B283" s="353"/>
      <c r="C283" s="352"/>
      <c r="D283" s="352"/>
      <c r="E283" s="353"/>
      <c r="F283" s="353"/>
      <c r="G283" s="317"/>
      <c r="H283" s="354"/>
      <c r="I283" s="355"/>
      <c r="J283" s="356"/>
      <c r="K283" s="357"/>
      <c r="L283" s="321"/>
      <c r="M283" s="355"/>
      <c r="N283" s="352"/>
      <c r="O283" s="352"/>
      <c r="P283" s="352"/>
      <c r="Q283" s="352"/>
      <c r="R283" s="352"/>
      <c r="S283" s="352"/>
      <c r="T283" s="352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</row>
    <row r="284" ht="15.75" customHeight="1">
      <c r="A284" s="352"/>
      <c r="B284" s="353"/>
      <c r="C284" s="352"/>
      <c r="D284" s="352"/>
      <c r="E284" s="353"/>
      <c r="F284" s="353"/>
      <c r="G284" s="317"/>
      <c r="H284" s="354"/>
      <c r="I284" s="355"/>
      <c r="J284" s="356"/>
      <c r="K284" s="357"/>
      <c r="L284" s="321"/>
      <c r="M284" s="355"/>
      <c r="N284" s="352"/>
      <c r="O284" s="352"/>
      <c r="P284" s="352"/>
      <c r="Q284" s="352"/>
      <c r="R284" s="352"/>
      <c r="S284" s="352"/>
      <c r="T284" s="352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</row>
    <row r="285" ht="15.75" customHeight="1">
      <c r="A285" s="352"/>
      <c r="B285" s="353"/>
      <c r="C285" s="352"/>
      <c r="D285" s="352"/>
      <c r="E285" s="353"/>
      <c r="F285" s="353"/>
      <c r="G285" s="317"/>
      <c r="H285" s="354"/>
      <c r="I285" s="355"/>
      <c r="J285" s="356"/>
      <c r="K285" s="357"/>
      <c r="L285" s="321"/>
      <c r="M285" s="355"/>
      <c r="N285" s="352"/>
      <c r="O285" s="352"/>
      <c r="P285" s="352"/>
      <c r="Q285" s="352"/>
      <c r="R285" s="352"/>
      <c r="S285" s="352"/>
      <c r="T285" s="352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</row>
    <row r="286" ht="15.75" customHeight="1">
      <c r="A286" s="352"/>
      <c r="B286" s="353"/>
      <c r="C286" s="352"/>
      <c r="D286" s="352"/>
      <c r="E286" s="353"/>
      <c r="F286" s="353"/>
      <c r="G286" s="317"/>
      <c r="H286" s="354"/>
      <c r="I286" s="355"/>
      <c r="J286" s="356"/>
      <c r="K286" s="357"/>
      <c r="L286" s="321"/>
      <c r="M286" s="355"/>
      <c r="N286" s="352"/>
      <c r="O286" s="352"/>
      <c r="P286" s="352"/>
      <c r="Q286" s="352"/>
      <c r="R286" s="352"/>
      <c r="S286" s="352"/>
      <c r="T286" s="352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</row>
    <row r="287" ht="15.75" customHeight="1">
      <c r="A287" s="352"/>
      <c r="B287" s="353"/>
      <c r="C287" s="352"/>
      <c r="D287" s="352"/>
      <c r="E287" s="353"/>
      <c r="F287" s="353"/>
      <c r="G287" s="317"/>
      <c r="H287" s="354"/>
      <c r="I287" s="355"/>
      <c r="J287" s="356"/>
      <c r="K287" s="357"/>
      <c r="L287" s="321"/>
      <c r="M287" s="355"/>
      <c r="N287" s="352"/>
      <c r="O287" s="352"/>
      <c r="P287" s="352"/>
      <c r="Q287" s="352"/>
      <c r="R287" s="352"/>
      <c r="S287" s="352"/>
      <c r="T287" s="352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</row>
    <row r="288" ht="15.75" customHeight="1">
      <c r="A288" s="352"/>
      <c r="B288" s="353"/>
      <c r="C288" s="352"/>
      <c r="D288" s="352"/>
      <c r="E288" s="353"/>
      <c r="F288" s="353"/>
      <c r="G288" s="317"/>
      <c r="H288" s="354"/>
      <c r="I288" s="355"/>
      <c r="J288" s="356"/>
      <c r="K288" s="357"/>
      <c r="L288" s="321"/>
      <c r="M288" s="355"/>
      <c r="N288" s="352"/>
      <c r="O288" s="352"/>
      <c r="P288" s="352"/>
      <c r="Q288" s="352"/>
      <c r="R288" s="352"/>
      <c r="S288" s="352"/>
      <c r="T288" s="352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</row>
    <row r="289" ht="15.75" customHeight="1">
      <c r="A289" s="352"/>
      <c r="B289" s="353"/>
      <c r="C289" s="352"/>
      <c r="D289" s="352"/>
      <c r="E289" s="353"/>
      <c r="F289" s="353"/>
      <c r="G289" s="317"/>
      <c r="H289" s="354"/>
      <c r="I289" s="355"/>
      <c r="J289" s="356"/>
      <c r="K289" s="357"/>
      <c r="L289" s="321"/>
      <c r="M289" s="355"/>
      <c r="N289" s="352"/>
      <c r="O289" s="352"/>
      <c r="P289" s="352"/>
      <c r="Q289" s="352"/>
      <c r="R289" s="352"/>
      <c r="S289" s="352"/>
      <c r="T289" s="352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</row>
    <row r="290" ht="15.75" customHeight="1">
      <c r="A290" s="352"/>
      <c r="B290" s="353"/>
      <c r="C290" s="352"/>
      <c r="D290" s="352"/>
      <c r="E290" s="353"/>
      <c r="F290" s="353"/>
      <c r="G290" s="317"/>
      <c r="H290" s="354"/>
      <c r="I290" s="355"/>
      <c r="J290" s="356"/>
      <c r="K290" s="357"/>
      <c r="L290" s="321"/>
      <c r="M290" s="355"/>
      <c r="N290" s="352"/>
      <c r="O290" s="352"/>
      <c r="P290" s="352"/>
      <c r="Q290" s="352"/>
      <c r="R290" s="352"/>
      <c r="S290" s="352"/>
      <c r="T290" s="352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</row>
    <row r="291" ht="15.75" customHeight="1">
      <c r="A291" s="352"/>
      <c r="B291" s="353"/>
      <c r="C291" s="352"/>
      <c r="D291" s="352"/>
      <c r="E291" s="353"/>
      <c r="F291" s="353"/>
      <c r="G291" s="317"/>
      <c r="H291" s="354"/>
      <c r="I291" s="355"/>
      <c r="J291" s="356"/>
      <c r="K291" s="357"/>
      <c r="L291" s="321"/>
      <c r="M291" s="355"/>
      <c r="N291" s="352"/>
      <c r="O291" s="352"/>
      <c r="P291" s="352"/>
      <c r="Q291" s="352"/>
      <c r="R291" s="352"/>
      <c r="S291" s="352"/>
      <c r="T291" s="352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</row>
    <row r="292" ht="15.75" customHeight="1">
      <c r="A292" s="352"/>
      <c r="B292" s="353"/>
      <c r="C292" s="352"/>
      <c r="D292" s="352"/>
      <c r="E292" s="353"/>
      <c r="F292" s="353"/>
      <c r="G292" s="317"/>
      <c r="H292" s="354"/>
      <c r="I292" s="355"/>
      <c r="J292" s="356"/>
      <c r="K292" s="357"/>
      <c r="L292" s="321"/>
      <c r="M292" s="355"/>
      <c r="N292" s="352"/>
      <c r="O292" s="352"/>
      <c r="P292" s="352"/>
      <c r="Q292" s="352"/>
      <c r="R292" s="352"/>
      <c r="S292" s="352"/>
      <c r="T292" s="352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</row>
    <row r="293" ht="15.75" customHeight="1">
      <c r="A293" s="352"/>
      <c r="B293" s="353"/>
      <c r="C293" s="352"/>
      <c r="D293" s="352"/>
      <c r="E293" s="353"/>
      <c r="F293" s="353"/>
      <c r="G293" s="317"/>
      <c r="H293" s="354"/>
      <c r="I293" s="355"/>
      <c r="J293" s="356"/>
      <c r="K293" s="357"/>
      <c r="L293" s="321"/>
      <c r="M293" s="355"/>
      <c r="N293" s="352"/>
      <c r="O293" s="352"/>
      <c r="P293" s="352"/>
      <c r="Q293" s="352"/>
      <c r="R293" s="352"/>
      <c r="S293" s="352"/>
      <c r="T293" s="352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</row>
    <row r="294" ht="15.75" customHeight="1">
      <c r="A294" s="352"/>
      <c r="B294" s="353"/>
      <c r="C294" s="352"/>
      <c r="D294" s="352"/>
      <c r="E294" s="353"/>
      <c r="F294" s="353"/>
      <c r="G294" s="317"/>
      <c r="H294" s="354"/>
      <c r="I294" s="355"/>
      <c r="J294" s="356"/>
      <c r="K294" s="357"/>
      <c r="L294" s="321"/>
      <c r="M294" s="355"/>
      <c r="N294" s="352"/>
      <c r="O294" s="352"/>
      <c r="P294" s="352"/>
      <c r="Q294" s="352"/>
      <c r="R294" s="352"/>
      <c r="S294" s="352"/>
      <c r="T294" s="352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</row>
    <row r="295" ht="15.75" customHeight="1">
      <c r="A295" s="352"/>
      <c r="B295" s="353"/>
      <c r="C295" s="352"/>
      <c r="D295" s="352"/>
      <c r="E295" s="353"/>
      <c r="F295" s="353"/>
      <c r="G295" s="317"/>
      <c r="H295" s="354"/>
      <c r="I295" s="355"/>
      <c r="J295" s="356"/>
      <c r="K295" s="357"/>
      <c r="L295" s="321"/>
      <c r="M295" s="355"/>
      <c r="N295" s="352"/>
      <c r="O295" s="352"/>
      <c r="P295" s="352"/>
      <c r="Q295" s="352"/>
      <c r="R295" s="352"/>
      <c r="S295" s="352"/>
      <c r="T295" s="352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</row>
    <row r="296" ht="15.75" customHeight="1">
      <c r="A296" s="352"/>
      <c r="B296" s="353"/>
      <c r="C296" s="352"/>
      <c r="D296" s="352"/>
      <c r="E296" s="353"/>
      <c r="F296" s="353"/>
      <c r="G296" s="317"/>
      <c r="H296" s="354"/>
      <c r="I296" s="355"/>
      <c r="J296" s="356"/>
      <c r="K296" s="357"/>
      <c r="L296" s="321"/>
      <c r="M296" s="355"/>
      <c r="N296" s="352"/>
      <c r="O296" s="352"/>
      <c r="P296" s="352"/>
      <c r="Q296" s="352"/>
      <c r="R296" s="352"/>
      <c r="S296" s="352"/>
      <c r="T296" s="352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</row>
    <row r="297" ht="15.75" customHeight="1">
      <c r="A297" s="352"/>
      <c r="B297" s="353"/>
      <c r="C297" s="352"/>
      <c r="D297" s="352"/>
      <c r="E297" s="353"/>
      <c r="F297" s="353"/>
      <c r="G297" s="317"/>
      <c r="H297" s="354"/>
      <c r="I297" s="355"/>
      <c r="J297" s="356"/>
      <c r="K297" s="357"/>
      <c r="L297" s="321"/>
      <c r="M297" s="355"/>
      <c r="N297" s="352"/>
      <c r="O297" s="352"/>
      <c r="P297" s="352"/>
      <c r="Q297" s="352"/>
      <c r="R297" s="352"/>
      <c r="S297" s="352"/>
      <c r="T297" s="352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</row>
    <row r="298" ht="15.75" customHeight="1">
      <c r="A298" s="352"/>
      <c r="B298" s="353"/>
      <c r="C298" s="352"/>
      <c r="D298" s="352"/>
      <c r="E298" s="353"/>
      <c r="F298" s="353"/>
      <c r="G298" s="317"/>
      <c r="H298" s="354"/>
      <c r="I298" s="355"/>
      <c r="J298" s="356"/>
      <c r="K298" s="357"/>
      <c r="L298" s="321"/>
      <c r="M298" s="355"/>
      <c r="N298" s="352"/>
      <c r="O298" s="352"/>
      <c r="P298" s="352"/>
      <c r="Q298" s="352"/>
      <c r="R298" s="352"/>
      <c r="S298" s="352"/>
      <c r="T298" s="352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</row>
    <row r="299" ht="15.75" customHeight="1">
      <c r="A299" s="352"/>
      <c r="B299" s="353"/>
      <c r="C299" s="352"/>
      <c r="D299" s="352"/>
      <c r="E299" s="353"/>
      <c r="F299" s="353"/>
      <c r="G299" s="317"/>
      <c r="H299" s="354"/>
      <c r="I299" s="355"/>
      <c r="J299" s="356"/>
      <c r="K299" s="357"/>
      <c r="L299" s="321"/>
      <c r="M299" s="355"/>
      <c r="N299" s="352"/>
      <c r="O299" s="352"/>
      <c r="P299" s="352"/>
      <c r="Q299" s="352"/>
      <c r="R299" s="352"/>
      <c r="S299" s="352"/>
      <c r="T299" s="352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</row>
    <row r="300" ht="15.75" customHeight="1">
      <c r="A300" s="352"/>
      <c r="B300" s="353"/>
      <c r="C300" s="352"/>
      <c r="D300" s="352"/>
      <c r="E300" s="353"/>
      <c r="F300" s="353"/>
      <c r="G300" s="317"/>
      <c r="H300" s="354"/>
      <c r="I300" s="355"/>
      <c r="J300" s="356"/>
      <c r="K300" s="357"/>
      <c r="L300" s="321"/>
      <c r="M300" s="355"/>
      <c r="N300" s="352"/>
      <c r="O300" s="352"/>
      <c r="P300" s="352"/>
      <c r="Q300" s="352"/>
      <c r="R300" s="352"/>
      <c r="S300" s="352"/>
      <c r="T300" s="352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</row>
    <row r="301" ht="15.75" customHeight="1">
      <c r="A301" s="352"/>
      <c r="B301" s="353"/>
      <c r="C301" s="352"/>
      <c r="D301" s="352"/>
      <c r="E301" s="353"/>
      <c r="F301" s="353"/>
      <c r="G301" s="317"/>
      <c r="H301" s="354"/>
      <c r="I301" s="355"/>
      <c r="J301" s="356"/>
      <c r="K301" s="357"/>
      <c r="L301" s="321"/>
      <c r="M301" s="355"/>
      <c r="N301" s="352"/>
      <c r="O301" s="352"/>
      <c r="P301" s="352"/>
      <c r="Q301" s="352"/>
      <c r="R301" s="352"/>
      <c r="S301" s="352"/>
      <c r="T301" s="352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</row>
    <row r="302" ht="15.75" customHeight="1">
      <c r="A302" s="352"/>
      <c r="B302" s="353"/>
      <c r="C302" s="352"/>
      <c r="D302" s="352"/>
      <c r="E302" s="353"/>
      <c r="F302" s="353"/>
      <c r="G302" s="317"/>
      <c r="H302" s="354"/>
      <c r="I302" s="355"/>
      <c r="J302" s="356"/>
      <c r="K302" s="357"/>
      <c r="L302" s="321"/>
      <c r="M302" s="355"/>
      <c r="N302" s="352"/>
      <c r="O302" s="352"/>
      <c r="P302" s="352"/>
      <c r="Q302" s="352"/>
      <c r="R302" s="352"/>
      <c r="S302" s="352"/>
      <c r="T302" s="352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</row>
    <row r="303" ht="15.75" customHeight="1">
      <c r="A303" s="352"/>
      <c r="B303" s="353"/>
      <c r="C303" s="352"/>
      <c r="D303" s="352"/>
      <c r="E303" s="353"/>
      <c r="F303" s="353"/>
      <c r="G303" s="317"/>
      <c r="H303" s="354"/>
      <c r="I303" s="355"/>
      <c r="J303" s="356"/>
      <c r="K303" s="357"/>
      <c r="L303" s="321"/>
      <c r="M303" s="355"/>
      <c r="N303" s="352"/>
      <c r="O303" s="352"/>
      <c r="P303" s="352"/>
      <c r="Q303" s="352"/>
      <c r="R303" s="352"/>
      <c r="S303" s="352"/>
      <c r="T303" s="352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</row>
    <row r="304" ht="15.75" customHeight="1">
      <c r="A304" s="352"/>
      <c r="B304" s="353"/>
      <c r="C304" s="352"/>
      <c r="D304" s="352"/>
      <c r="E304" s="353"/>
      <c r="F304" s="353"/>
      <c r="G304" s="317"/>
      <c r="H304" s="354"/>
      <c r="I304" s="355"/>
      <c r="J304" s="356"/>
      <c r="K304" s="357"/>
      <c r="L304" s="321"/>
      <c r="M304" s="355"/>
      <c r="N304" s="352"/>
      <c r="O304" s="352"/>
      <c r="P304" s="352"/>
      <c r="Q304" s="352"/>
      <c r="R304" s="352"/>
      <c r="S304" s="352"/>
      <c r="T304" s="352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</row>
    <row r="305" ht="15.75" customHeight="1">
      <c r="A305" s="352"/>
      <c r="B305" s="353"/>
      <c r="C305" s="352"/>
      <c r="D305" s="352"/>
      <c r="E305" s="353"/>
      <c r="F305" s="353"/>
      <c r="G305" s="317"/>
      <c r="H305" s="354"/>
      <c r="I305" s="355"/>
      <c r="J305" s="356"/>
      <c r="K305" s="357"/>
      <c r="L305" s="321"/>
      <c r="M305" s="355"/>
      <c r="N305" s="352"/>
      <c r="O305" s="352"/>
      <c r="P305" s="352"/>
      <c r="Q305" s="352"/>
      <c r="R305" s="352"/>
      <c r="S305" s="352"/>
      <c r="T305" s="352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</row>
    <row r="306" ht="15.75" customHeight="1">
      <c r="A306" s="352"/>
      <c r="B306" s="353"/>
      <c r="C306" s="352"/>
      <c r="D306" s="352"/>
      <c r="E306" s="353"/>
      <c r="F306" s="353"/>
      <c r="G306" s="317"/>
      <c r="H306" s="354"/>
      <c r="I306" s="355"/>
      <c r="J306" s="356"/>
      <c r="K306" s="357"/>
      <c r="L306" s="321"/>
      <c r="M306" s="355"/>
      <c r="N306" s="352"/>
      <c r="O306" s="352"/>
      <c r="P306" s="352"/>
      <c r="Q306" s="352"/>
      <c r="R306" s="352"/>
      <c r="S306" s="352"/>
      <c r="T306" s="352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</row>
    <row r="307" ht="15.75" customHeight="1">
      <c r="A307" s="352"/>
      <c r="B307" s="353"/>
      <c r="C307" s="352"/>
      <c r="D307" s="352"/>
      <c r="E307" s="353"/>
      <c r="F307" s="353"/>
      <c r="G307" s="317"/>
      <c r="H307" s="354"/>
      <c r="I307" s="355"/>
      <c r="J307" s="356"/>
      <c r="K307" s="357"/>
      <c r="L307" s="321"/>
      <c r="M307" s="355"/>
      <c r="N307" s="352"/>
      <c r="O307" s="352"/>
      <c r="P307" s="352"/>
      <c r="Q307" s="352"/>
      <c r="R307" s="352"/>
      <c r="S307" s="352"/>
      <c r="T307" s="352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</row>
    <row r="308" ht="15.75" customHeight="1">
      <c r="A308" s="352"/>
      <c r="B308" s="353"/>
      <c r="C308" s="352"/>
      <c r="D308" s="352"/>
      <c r="E308" s="353"/>
      <c r="F308" s="353"/>
      <c r="G308" s="317"/>
      <c r="H308" s="354"/>
      <c r="I308" s="355"/>
      <c r="J308" s="356"/>
      <c r="K308" s="357"/>
      <c r="L308" s="321"/>
      <c r="M308" s="355"/>
      <c r="N308" s="352"/>
      <c r="O308" s="352"/>
      <c r="P308" s="352"/>
      <c r="Q308" s="352"/>
      <c r="R308" s="352"/>
      <c r="S308" s="352"/>
      <c r="T308" s="352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</row>
    <row r="309" ht="15.75" customHeight="1">
      <c r="A309" s="352"/>
      <c r="B309" s="353"/>
      <c r="C309" s="352"/>
      <c r="D309" s="352"/>
      <c r="E309" s="353"/>
      <c r="F309" s="353"/>
      <c r="G309" s="317"/>
      <c r="H309" s="354"/>
      <c r="I309" s="355"/>
      <c r="J309" s="356"/>
      <c r="K309" s="357"/>
      <c r="L309" s="321"/>
      <c r="M309" s="355"/>
      <c r="N309" s="352"/>
      <c r="O309" s="352"/>
      <c r="P309" s="352"/>
      <c r="Q309" s="352"/>
      <c r="R309" s="352"/>
      <c r="S309" s="352"/>
      <c r="T309" s="352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</row>
    <row r="310" ht="15.75" customHeight="1">
      <c r="A310" s="352"/>
      <c r="B310" s="353"/>
      <c r="C310" s="352"/>
      <c r="D310" s="352"/>
      <c r="E310" s="353"/>
      <c r="F310" s="353"/>
      <c r="G310" s="317"/>
      <c r="H310" s="354"/>
      <c r="I310" s="355"/>
      <c r="J310" s="356"/>
      <c r="K310" s="357"/>
      <c r="L310" s="321"/>
      <c r="M310" s="355"/>
      <c r="N310" s="352"/>
      <c r="O310" s="352"/>
      <c r="P310" s="352"/>
      <c r="Q310" s="352"/>
      <c r="R310" s="352"/>
      <c r="S310" s="352"/>
      <c r="T310" s="352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</row>
    <row r="311" ht="15.75" customHeight="1">
      <c r="A311" s="352"/>
      <c r="B311" s="353"/>
      <c r="C311" s="352"/>
      <c r="D311" s="352"/>
      <c r="E311" s="353"/>
      <c r="F311" s="353"/>
      <c r="G311" s="317"/>
      <c r="H311" s="354"/>
      <c r="I311" s="355"/>
      <c r="J311" s="356"/>
      <c r="K311" s="357"/>
      <c r="L311" s="321"/>
      <c r="M311" s="355"/>
      <c r="N311" s="352"/>
      <c r="O311" s="352"/>
      <c r="P311" s="352"/>
      <c r="Q311" s="352"/>
      <c r="R311" s="352"/>
      <c r="S311" s="352"/>
      <c r="T311" s="352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</row>
    <row r="312" ht="15.75" customHeight="1">
      <c r="A312" s="352"/>
      <c r="B312" s="353"/>
      <c r="C312" s="352"/>
      <c r="D312" s="352"/>
      <c r="E312" s="353"/>
      <c r="F312" s="353"/>
      <c r="G312" s="317"/>
      <c r="H312" s="354"/>
      <c r="I312" s="355"/>
      <c r="J312" s="356"/>
      <c r="K312" s="357"/>
      <c r="L312" s="321"/>
      <c r="M312" s="355"/>
      <c r="N312" s="352"/>
      <c r="O312" s="352"/>
      <c r="P312" s="352"/>
      <c r="Q312" s="352"/>
      <c r="R312" s="352"/>
      <c r="S312" s="352"/>
      <c r="T312" s="352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</row>
    <row r="313" ht="15.75" customHeight="1">
      <c r="A313" s="352"/>
      <c r="B313" s="353"/>
      <c r="C313" s="352"/>
      <c r="D313" s="352"/>
      <c r="E313" s="353"/>
      <c r="F313" s="353"/>
      <c r="G313" s="317"/>
      <c r="H313" s="354"/>
      <c r="I313" s="355"/>
      <c r="J313" s="356"/>
      <c r="K313" s="357"/>
      <c r="L313" s="321"/>
      <c r="M313" s="355"/>
      <c r="N313" s="352"/>
      <c r="O313" s="352"/>
      <c r="P313" s="352"/>
      <c r="Q313" s="352"/>
      <c r="R313" s="352"/>
      <c r="S313" s="352"/>
      <c r="T313" s="352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</row>
    <row r="314" ht="15.75" customHeight="1">
      <c r="A314" s="352"/>
      <c r="B314" s="353"/>
      <c r="C314" s="352"/>
      <c r="D314" s="352"/>
      <c r="E314" s="353"/>
      <c r="F314" s="353"/>
      <c r="G314" s="317"/>
      <c r="H314" s="354"/>
      <c r="I314" s="355"/>
      <c r="J314" s="356"/>
      <c r="K314" s="357"/>
      <c r="L314" s="321"/>
      <c r="M314" s="355"/>
      <c r="N314" s="352"/>
      <c r="O314" s="352"/>
      <c r="P314" s="352"/>
      <c r="Q314" s="352"/>
      <c r="R314" s="352"/>
      <c r="S314" s="352"/>
      <c r="T314" s="352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</row>
    <row r="315" ht="15.75" customHeight="1">
      <c r="A315" s="352"/>
      <c r="B315" s="353"/>
      <c r="C315" s="352"/>
      <c r="D315" s="352"/>
      <c r="E315" s="353"/>
      <c r="F315" s="353"/>
      <c r="G315" s="317"/>
      <c r="H315" s="354"/>
      <c r="I315" s="355"/>
      <c r="J315" s="356"/>
      <c r="K315" s="357"/>
      <c r="L315" s="321"/>
      <c r="M315" s="355"/>
      <c r="N315" s="352"/>
      <c r="O315" s="352"/>
      <c r="P315" s="352"/>
      <c r="Q315" s="352"/>
      <c r="R315" s="352"/>
      <c r="S315" s="352"/>
      <c r="T315" s="352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</row>
    <row r="316" ht="15.75" customHeight="1">
      <c r="A316" s="352"/>
      <c r="B316" s="353"/>
      <c r="C316" s="352"/>
      <c r="D316" s="352"/>
      <c r="E316" s="353"/>
      <c r="F316" s="353"/>
      <c r="G316" s="317"/>
      <c r="H316" s="354"/>
      <c r="I316" s="355"/>
      <c r="J316" s="356"/>
      <c r="K316" s="357"/>
      <c r="L316" s="321"/>
      <c r="M316" s="355"/>
      <c r="N316" s="352"/>
      <c r="O316" s="352"/>
      <c r="P316" s="352"/>
      <c r="Q316" s="352"/>
      <c r="R316" s="352"/>
      <c r="S316" s="352"/>
      <c r="T316" s="352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</row>
    <row r="317" ht="15.75" customHeight="1">
      <c r="A317" s="352"/>
      <c r="B317" s="353"/>
      <c r="C317" s="352"/>
      <c r="D317" s="352"/>
      <c r="E317" s="353"/>
      <c r="F317" s="353"/>
      <c r="G317" s="317"/>
      <c r="H317" s="354"/>
      <c r="I317" s="355"/>
      <c r="J317" s="356"/>
      <c r="K317" s="357"/>
      <c r="L317" s="321"/>
      <c r="M317" s="355"/>
      <c r="N317" s="352"/>
      <c r="O317" s="352"/>
      <c r="P317" s="352"/>
      <c r="Q317" s="352"/>
      <c r="R317" s="352"/>
      <c r="S317" s="352"/>
      <c r="T317" s="352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</row>
    <row r="318" ht="15.75" customHeight="1">
      <c r="A318" s="352"/>
      <c r="B318" s="353"/>
      <c r="C318" s="352"/>
      <c r="D318" s="352"/>
      <c r="E318" s="353"/>
      <c r="F318" s="353"/>
      <c r="G318" s="317"/>
      <c r="H318" s="354"/>
      <c r="I318" s="355"/>
      <c r="J318" s="356"/>
      <c r="K318" s="357"/>
      <c r="L318" s="321"/>
      <c r="M318" s="355"/>
      <c r="N318" s="352"/>
      <c r="O318" s="352"/>
      <c r="P318" s="352"/>
      <c r="Q318" s="352"/>
      <c r="R318" s="352"/>
      <c r="S318" s="352"/>
      <c r="T318" s="352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</row>
    <row r="319" ht="15.75" customHeight="1">
      <c r="A319" s="352"/>
      <c r="B319" s="353"/>
      <c r="C319" s="352"/>
      <c r="D319" s="352"/>
      <c r="E319" s="353"/>
      <c r="F319" s="353"/>
      <c r="G319" s="317"/>
      <c r="H319" s="354"/>
      <c r="I319" s="355"/>
      <c r="J319" s="356"/>
      <c r="K319" s="357"/>
      <c r="L319" s="321"/>
      <c r="M319" s="355"/>
      <c r="N319" s="352"/>
      <c r="O319" s="352"/>
      <c r="P319" s="352"/>
      <c r="Q319" s="352"/>
      <c r="R319" s="352"/>
      <c r="S319" s="352"/>
      <c r="T319" s="352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</row>
    <row r="320" ht="15.75" customHeight="1">
      <c r="A320" s="352"/>
      <c r="B320" s="353"/>
      <c r="C320" s="352"/>
      <c r="D320" s="352"/>
      <c r="E320" s="353"/>
      <c r="F320" s="353"/>
      <c r="G320" s="317"/>
      <c r="H320" s="354"/>
      <c r="I320" s="355"/>
      <c r="J320" s="356"/>
      <c r="K320" s="357"/>
      <c r="L320" s="321"/>
      <c r="M320" s="355"/>
      <c r="N320" s="352"/>
      <c r="O320" s="352"/>
      <c r="P320" s="352"/>
      <c r="Q320" s="352"/>
      <c r="R320" s="352"/>
      <c r="S320" s="352"/>
      <c r="T320" s="352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</row>
    <row r="321" ht="15.75" customHeight="1">
      <c r="A321" s="352"/>
      <c r="B321" s="353"/>
      <c r="C321" s="352"/>
      <c r="D321" s="352"/>
      <c r="E321" s="353"/>
      <c r="F321" s="353"/>
      <c r="G321" s="317"/>
      <c r="H321" s="354"/>
      <c r="I321" s="355"/>
      <c r="J321" s="356"/>
      <c r="K321" s="357"/>
      <c r="L321" s="321"/>
      <c r="M321" s="355"/>
      <c r="N321" s="352"/>
      <c r="O321" s="352"/>
      <c r="P321" s="352"/>
      <c r="Q321" s="352"/>
      <c r="R321" s="352"/>
      <c r="S321" s="352"/>
      <c r="T321" s="352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</row>
    <row r="322" ht="15.75" customHeight="1">
      <c r="A322" s="352"/>
      <c r="B322" s="353"/>
      <c r="C322" s="352"/>
      <c r="D322" s="352"/>
      <c r="E322" s="353"/>
      <c r="F322" s="353"/>
      <c r="G322" s="317"/>
      <c r="H322" s="354"/>
      <c r="I322" s="355"/>
      <c r="J322" s="356"/>
      <c r="K322" s="357"/>
      <c r="L322" s="321"/>
      <c r="M322" s="355"/>
      <c r="N322" s="352"/>
      <c r="O322" s="352"/>
      <c r="P322" s="352"/>
      <c r="Q322" s="352"/>
      <c r="R322" s="352"/>
      <c r="S322" s="352"/>
      <c r="T322" s="352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</row>
    <row r="323" ht="15.75" customHeight="1">
      <c r="A323" s="352"/>
      <c r="B323" s="353"/>
      <c r="C323" s="352"/>
      <c r="D323" s="352"/>
      <c r="E323" s="353"/>
      <c r="F323" s="353"/>
      <c r="G323" s="317"/>
      <c r="H323" s="354"/>
      <c r="I323" s="355"/>
      <c r="J323" s="356"/>
      <c r="K323" s="357"/>
      <c r="L323" s="321"/>
      <c r="M323" s="355"/>
      <c r="N323" s="352"/>
      <c r="O323" s="352"/>
      <c r="P323" s="352"/>
      <c r="Q323" s="352"/>
      <c r="R323" s="352"/>
      <c r="S323" s="352"/>
      <c r="T323" s="352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</row>
    <row r="324" ht="15.75" customHeight="1">
      <c r="A324" s="352"/>
      <c r="B324" s="353"/>
      <c r="C324" s="352"/>
      <c r="D324" s="352"/>
      <c r="E324" s="353"/>
      <c r="F324" s="353"/>
      <c r="G324" s="317"/>
      <c r="H324" s="354"/>
      <c r="I324" s="355"/>
      <c r="J324" s="356"/>
      <c r="K324" s="357"/>
      <c r="L324" s="321"/>
      <c r="M324" s="355"/>
      <c r="N324" s="352"/>
      <c r="O324" s="352"/>
      <c r="P324" s="352"/>
      <c r="Q324" s="352"/>
      <c r="R324" s="352"/>
      <c r="S324" s="352"/>
      <c r="T324" s="352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</row>
    <row r="325" ht="15.75" customHeight="1">
      <c r="A325" s="352"/>
      <c r="B325" s="353"/>
      <c r="C325" s="352"/>
      <c r="D325" s="352"/>
      <c r="E325" s="353"/>
      <c r="F325" s="353"/>
      <c r="G325" s="317"/>
      <c r="H325" s="354"/>
      <c r="I325" s="355"/>
      <c r="J325" s="356"/>
      <c r="K325" s="357"/>
      <c r="L325" s="321"/>
      <c r="M325" s="355"/>
      <c r="N325" s="352"/>
      <c r="O325" s="352"/>
      <c r="P325" s="352"/>
      <c r="Q325" s="352"/>
      <c r="R325" s="352"/>
      <c r="S325" s="352"/>
      <c r="T325" s="352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</row>
    <row r="326" ht="15.75" customHeight="1">
      <c r="A326" s="352"/>
      <c r="B326" s="353"/>
      <c r="C326" s="352"/>
      <c r="D326" s="352"/>
      <c r="E326" s="353"/>
      <c r="F326" s="353"/>
      <c r="G326" s="317"/>
      <c r="H326" s="354"/>
      <c r="I326" s="355"/>
      <c r="J326" s="356"/>
      <c r="K326" s="357"/>
      <c r="L326" s="321"/>
      <c r="M326" s="355"/>
      <c r="N326" s="352"/>
      <c r="O326" s="352"/>
      <c r="P326" s="352"/>
      <c r="Q326" s="352"/>
      <c r="R326" s="352"/>
      <c r="S326" s="352"/>
      <c r="T326" s="352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</row>
    <row r="327" ht="15.75" customHeight="1">
      <c r="A327" s="352"/>
      <c r="B327" s="353"/>
      <c r="C327" s="352"/>
      <c r="D327" s="352"/>
      <c r="E327" s="353"/>
      <c r="F327" s="353"/>
      <c r="G327" s="317"/>
      <c r="H327" s="354"/>
      <c r="I327" s="355"/>
      <c r="J327" s="356"/>
      <c r="K327" s="357"/>
      <c r="L327" s="321"/>
      <c r="M327" s="355"/>
      <c r="N327" s="352"/>
      <c r="O327" s="352"/>
      <c r="P327" s="352"/>
      <c r="Q327" s="352"/>
      <c r="R327" s="352"/>
      <c r="S327" s="352"/>
      <c r="T327" s="352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</row>
    <row r="328" ht="15.75" customHeight="1">
      <c r="A328" s="352"/>
      <c r="B328" s="353"/>
      <c r="C328" s="352"/>
      <c r="D328" s="352"/>
      <c r="E328" s="353"/>
      <c r="F328" s="353"/>
      <c r="G328" s="317"/>
      <c r="H328" s="354"/>
      <c r="I328" s="355"/>
      <c r="J328" s="356"/>
      <c r="K328" s="357"/>
      <c r="L328" s="321"/>
      <c r="M328" s="355"/>
      <c r="N328" s="352"/>
      <c r="O328" s="352"/>
      <c r="P328" s="352"/>
      <c r="Q328" s="352"/>
      <c r="R328" s="352"/>
      <c r="S328" s="352"/>
      <c r="T328" s="352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</row>
    <row r="329" ht="15.75" customHeight="1">
      <c r="A329" s="352"/>
      <c r="B329" s="353"/>
      <c r="C329" s="352"/>
      <c r="D329" s="352"/>
      <c r="E329" s="353"/>
      <c r="F329" s="353"/>
      <c r="G329" s="317"/>
      <c r="H329" s="354"/>
      <c r="I329" s="355"/>
      <c r="J329" s="356"/>
      <c r="K329" s="357"/>
      <c r="L329" s="321"/>
      <c r="M329" s="355"/>
      <c r="N329" s="352"/>
      <c r="O329" s="352"/>
      <c r="P329" s="352"/>
      <c r="Q329" s="352"/>
      <c r="R329" s="352"/>
      <c r="S329" s="352"/>
      <c r="T329" s="352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</row>
    <row r="330" ht="15.75" customHeight="1">
      <c r="A330" s="352"/>
      <c r="B330" s="353"/>
      <c r="C330" s="352"/>
      <c r="D330" s="352"/>
      <c r="E330" s="353"/>
      <c r="F330" s="353"/>
      <c r="G330" s="317"/>
      <c r="H330" s="354"/>
      <c r="I330" s="355"/>
      <c r="J330" s="356"/>
      <c r="K330" s="357"/>
      <c r="L330" s="321"/>
      <c r="M330" s="355"/>
      <c r="N330" s="352"/>
      <c r="O330" s="352"/>
      <c r="P330" s="352"/>
      <c r="Q330" s="352"/>
      <c r="R330" s="352"/>
      <c r="S330" s="352"/>
      <c r="T330" s="352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</row>
    <row r="331" ht="15.75" customHeight="1">
      <c r="A331" s="352"/>
      <c r="B331" s="353"/>
      <c r="C331" s="352"/>
      <c r="D331" s="352"/>
      <c r="E331" s="353"/>
      <c r="F331" s="353"/>
      <c r="G331" s="317"/>
      <c r="H331" s="354"/>
      <c r="I331" s="355"/>
      <c r="J331" s="356"/>
      <c r="K331" s="357"/>
      <c r="L331" s="321"/>
      <c r="M331" s="355"/>
      <c r="N331" s="352"/>
      <c r="O331" s="352"/>
      <c r="P331" s="352"/>
      <c r="Q331" s="352"/>
      <c r="R331" s="352"/>
      <c r="S331" s="352"/>
      <c r="T331" s="352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</row>
    <row r="332" ht="15.75" customHeight="1">
      <c r="A332" s="352"/>
      <c r="B332" s="353"/>
      <c r="C332" s="352"/>
      <c r="D332" s="352"/>
      <c r="E332" s="353"/>
      <c r="F332" s="353"/>
      <c r="G332" s="317"/>
      <c r="H332" s="354"/>
      <c r="I332" s="355"/>
      <c r="J332" s="356"/>
      <c r="K332" s="357"/>
      <c r="L332" s="321"/>
      <c r="M332" s="355"/>
      <c r="N332" s="352"/>
      <c r="O332" s="352"/>
      <c r="P332" s="352"/>
      <c r="Q332" s="352"/>
      <c r="R332" s="352"/>
      <c r="S332" s="352"/>
      <c r="T332" s="352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</row>
    <row r="333" ht="15.75" customHeight="1">
      <c r="A333" s="352"/>
      <c r="B333" s="353"/>
      <c r="C333" s="352"/>
      <c r="D333" s="352"/>
      <c r="E333" s="353"/>
      <c r="F333" s="353"/>
      <c r="G333" s="317"/>
      <c r="H333" s="354"/>
      <c r="I333" s="355"/>
      <c r="J333" s="356"/>
      <c r="K333" s="357"/>
      <c r="L333" s="321"/>
      <c r="M333" s="355"/>
      <c r="N333" s="352"/>
      <c r="O333" s="352"/>
      <c r="P333" s="352"/>
      <c r="Q333" s="352"/>
      <c r="R333" s="352"/>
      <c r="S333" s="352"/>
      <c r="T333" s="352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</row>
    <row r="334" ht="15.75" customHeight="1">
      <c r="A334" s="352"/>
      <c r="B334" s="353"/>
      <c r="C334" s="352"/>
      <c r="D334" s="352"/>
      <c r="E334" s="353"/>
      <c r="F334" s="353"/>
      <c r="G334" s="317"/>
      <c r="H334" s="354"/>
      <c r="I334" s="355"/>
      <c r="J334" s="356"/>
      <c r="K334" s="357"/>
      <c r="L334" s="321"/>
      <c r="M334" s="355"/>
      <c r="N334" s="352"/>
      <c r="O334" s="352"/>
      <c r="P334" s="352"/>
      <c r="Q334" s="352"/>
      <c r="R334" s="352"/>
      <c r="S334" s="352"/>
      <c r="T334" s="352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</row>
    <row r="335" ht="15.75" customHeight="1">
      <c r="A335" s="352"/>
      <c r="B335" s="353"/>
      <c r="C335" s="352"/>
      <c r="D335" s="352"/>
      <c r="E335" s="353"/>
      <c r="F335" s="353"/>
      <c r="G335" s="317"/>
      <c r="H335" s="354"/>
      <c r="I335" s="355"/>
      <c r="J335" s="356"/>
      <c r="K335" s="357"/>
      <c r="L335" s="321"/>
      <c r="M335" s="355"/>
      <c r="N335" s="352"/>
      <c r="O335" s="352"/>
      <c r="P335" s="352"/>
      <c r="Q335" s="352"/>
      <c r="R335" s="352"/>
      <c r="S335" s="352"/>
      <c r="T335" s="352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</row>
    <row r="336" ht="15.75" customHeight="1">
      <c r="A336" s="352"/>
      <c r="B336" s="353"/>
      <c r="C336" s="352"/>
      <c r="D336" s="352"/>
      <c r="E336" s="353"/>
      <c r="F336" s="353"/>
      <c r="G336" s="317"/>
      <c r="H336" s="354"/>
      <c r="I336" s="355"/>
      <c r="J336" s="356"/>
      <c r="K336" s="357"/>
      <c r="L336" s="321"/>
      <c r="M336" s="355"/>
      <c r="N336" s="352"/>
      <c r="O336" s="352"/>
      <c r="P336" s="352"/>
      <c r="Q336" s="352"/>
      <c r="R336" s="352"/>
      <c r="S336" s="352"/>
      <c r="T336" s="352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</row>
    <row r="337" ht="15.75" customHeight="1">
      <c r="A337" s="352"/>
      <c r="B337" s="353"/>
      <c r="C337" s="352"/>
      <c r="D337" s="352"/>
      <c r="E337" s="353"/>
      <c r="F337" s="353"/>
      <c r="G337" s="317"/>
      <c r="H337" s="354"/>
      <c r="I337" s="355"/>
      <c r="J337" s="356"/>
      <c r="K337" s="357"/>
      <c r="L337" s="321"/>
      <c r="M337" s="355"/>
      <c r="N337" s="352"/>
      <c r="O337" s="352"/>
      <c r="P337" s="352"/>
      <c r="Q337" s="352"/>
      <c r="R337" s="352"/>
      <c r="S337" s="352"/>
      <c r="T337" s="352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</row>
    <row r="338" ht="15.75" customHeight="1">
      <c r="A338" s="352"/>
      <c r="B338" s="353"/>
      <c r="C338" s="352"/>
      <c r="D338" s="352"/>
      <c r="E338" s="353"/>
      <c r="F338" s="353"/>
      <c r="G338" s="317"/>
      <c r="H338" s="354"/>
      <c r="I338" s="355"/>
      <c r="J338" s="356"/>
      <c r="K338" s="357"/>
      <c r="L338" s="321"/>
      <c r="M338" s="355"/>
      <c r="N338" s="352"/>
      <c r="O338" s="352"/>
      <c r="P338" s="352"/>
      <c r="Q338" s="352"/>
      <c r="R338" s="352"/>
      <c r="S338" s="352"/>
      <c r="T338" s="352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</row>
    <row r="339" ht="15.75" customHeight="1">
      <c r="A339" s="352"/>
      <c r="B339" s="353"/>
      <c r="C339" s="352"/>
      <c r="D339" s="352"/>
      <c r="E339" s="353"/>
      <c r="F339" s="353"/>
      <c r="G339" s="317"/>
      <c r="H339" s="354"/>
      <c r="I339" s="355"/>
      <c r="J339" s="356"/>
      <c r="K339" s="357"/>
      <c r="L339" s="321"/>
      <c r="M339" s="355"/>
      <c r="N339" s="352"/>
      <c r="O339" s="352"/>
      <c r="P339" s="352"/>
      <c r="Q339" s="352"/>
      <c r="R339" s="352"/>
      <c r="S339" s="352"/>
      <c r="T339" s="352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</row>
    <row r="340" ht="15.75" customHeight="1">
      <c r="A340" s="352"/>
      <c r="B340" s="353"/>
      <c r="C340" s="352"/>
      <c r="D340" s="352"/>
      <c r="E340" s="353"/>
      <c r="F340" s="353"/>
      <c r="G340" s="317"/>
      <c r="H340" s="354"/>
      <c r="I340" s="355"/>
      <c r="J340" s="356"/>
      <c r="K340" s="357"/>
      <c r="L340" s="321"/>
      <c r="M340" s="355"/>
      <c r="N340" s="352"/>
      <c r="O340" s="352"/>
      <c r="P340" s="352"/>
      <c r="Q340" s="352"/>
      <c r="R340" s="352"/>
      <c r="S340" s="352"/>
      <c r="T340" s="352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</row>
    <row r="341" ht="15.75" customHeight="1">
      <c r="A341" s="352"/>
      <c r="B341" s="353"/>
      <c r="C341" s="352"/>
      <c r="D341" s="352"/>
      <c r="E341" s="353"/>
      <c r="F341" s="353"/>
      <c r="G341" s="317"/>
      <c r="H341" s="354"/>
      <c r="I341" s="355"/>
      <c r="J341" s="356"/>
      <c r="K341" s="357"/>
      <c r="L341" s="321"/>
      <c r="M341" s="355"/>
      <c r="N341" s="352"/>
      <c r="O341" s="352"/>
      <c r="P341" s="352"/>
      <c r="Q341" s="352"/>
      <c r="R341" s="352"/>
      <c r="S341" s="352"/>
      <c r="T341" s="352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</row>
    <row r="342" ht="15.75" customHeight="1">
      <c r="A342" s="352"/>
      <c r="B342" s="353"/>
      <c r="C342" s="352"/>
      <c r="D342" s="352"/>
      <c r="E342" s="353"/>
      <c r="F342" s="353"/>
      <c r="G342" s="317"/>
      <c r="H342" s="354"/>
      <c r="I342" s="355"/>
      <c r="J342" s="356"/>
      <c r="K342" s="357"/>
      <c r="L342" s="321"/>
      <c r="M342" s="355"/>
      <c r="N342" s="352"/>
      <c r="O342" s="352"/>
      <c r="P342" s="352"/>
      <c r="Q342" s="352"/>
      <c r="R342" s="352"/>
      <c r="S342" s="352"/>
      <c r="T342" s="352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</row>
    <row r="343" ht="15.75" customHeight="1">
      <c r="A343" s="352"/>
      <c r="B343" s="353"/>
      <c r="C343" s="352"/>
      <c r="D343" s="352"/>
      <c r="E343" s="353"/>
      <c r="F343" s="353"/>
      <c r="G343" s="317"/>
      <c r="H343" s="354"/>
      <c r="I343" s="355"/>
      <c r="J343" s="356"/>
      <c r="K343" s="357"/>
      <c r="L343" s="321"/>
      <c r="M343" s="355"/>
      <c r="N343" s="352"/>
      <c r="O343" s="352"/>
      <c r="P343" s="352"/>
      <c r="Q343" s="352"/>
      <c r="R343" s="352"/>
      <c r="S343" s="352"/>
      <c r="T343" s="352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</row>
    <row r="344" ht="15.75" customHeight="1">
      <c r="A344" s="352"/>
      <c r="B344" s="353"/>
      <c r="C344" s="352"/>
      <c r="D344" s="352"/>
      <c r="E344" s="353"/>
      <c r="F344" s="353"/>
      <c r="G344" s="317"/>
      <c r="H344" s="354"/>
      <c r="I344" s="355"/>
      <c r="J344" s="356"/>
      <c r="K344" s="357"/>
      <c r="L344" s="321"/>
      <c r="M344" s="355"/>
      <c r="N344" s="352"/>
      <c r="O344" s="352"/>
      <c r="P344" s="352"/>
      <c r="Q344" s="352"/>
      <c r="R344" s="352"/>
      <c r="S344" s="352"/>
      <c r="T344" s="352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</row>
    <row r="345" ht="15.75" customHeight="1">
      <c r="A345" s="352"/>
      <c r="B345" s="353"/>
      <c r="C345" s="352"/>
      <c r="D345" s="352"/>
      <c r="E345" s="353"/>
      <c r="F345" s="353"/>
      <c r="G345" s="317"/>
      <c r="H345" s="354"/>
      <c r="I345" s="355"/>
      <c r="J345" s="356"/>
      <c r="K345" s="357"/>
      <c r="L345" s="321"/>
      <c r="M345" s="355"/>
      <c r="N345" s="352"/>
      <c r="O345" s="352"/>
      <c r="P345" s="352"/>
      <c r="Q345" s="352"/>
      <c r="R345" s="352"/>
      <c r="S345" s="352"/>
      <c r="T345" s="352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</row>
    <row r="346" ht="15.75" customHeight="1">
      <c r="A346" s="352"/>
      <c r="B346" s="353"/>
      <c r="C346" s="352"/>
      <c r="D346" s="352"/>
      <c r="E346" s="353"/>
      <c r="F346" s="353"/>
      <c r="G346" s="317"/>
      <c r="H346" s="354"/>
      <c r="I346" s="355"/>
      <c r="J346" s="356"/>
      <c r="K346" s="357"/>
      <c r="L346" s="321"/>
      <c r="M346" s="355"/>
      <c r="N346" s="352"/>
      <c r="O346" s="352"/>
      <c r="P346" s="352"/>
      <c r="Q346" s="352"/>
      <c r="R346" s="352"/>
      <c r="S346" s="352"/>
      <c r="T346" s="352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</row>
    <row r="347" ht="15.75" customHeight="1">
      <c r="A347" s="352"/>
      <c r="B347" s="353"/>
      <c r="C347" s="352"/>
      <c r="D347" s="352"/>
      <c r="E347" s="353"/>
      <c r="F347" s="353"/>
      <c r="G347" s="317"/>
      <c r="H347" s="354"/>
      <c r="I347" s="355"/>
      <c r="J347" s="356"/>
      <c r="K347" s="357"/>
      <c r="L347" s="321"/>
      <c r="M347" s="355"/>
      <c r="N347" s="352"/>
      <c r="O347" s="352"/>
      <c r="P347" s="352"/>
      <c r="Q347" s="352"/>
      <c r="R347" s="352"/>
      <c r="S347" s="352"/>
      <c r="T347" s="352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</row>
    <row r="348" ht="15.75" customHeight="1">
      <c r="A348" s="352"/>
      <c r="B348" s="353"/>
      <c r="C348" s="352"/>
      <c r="D348" s="352"/>
      <c r="E348" s="353"/>
      <c r="F348" s="353"/>
      <c r="G348" s="317"/>
      <c r="H348" s="354"/>
      <c r="I348" s="355"/>
      <c r="J348" s="356"/>
      <c r="K348" s="357"/>
      <c r="L348" s="321"/>
      <c r="M348" s="355"/>
      <c r="N348" s="352"/>
      <c r="O348" s="352"/>
      <c r="P348" s="352"/>
      <c r="Q348" s="352"/>
      <c r="R348" s="352"/>
      <c r="S348" s="352"/>
      <c r="T348" s="352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</row>
    <row r="349" ht="15.75" customHeight="1">
      <c r="A349" s="352"/>
      <c r="B349" s="353"/>
      <c r="C349" s="352"/>
      <c r="D349" s="352"/>
      <c r="E349" s="353"/>
      <c r="F349" s="353"/>
      <c r="G349" s="317"/>
      <c r="H349" s="354"/>
      <c r="I349" s="355"/>
      <c r="J349" s="356"/>
      <c r="K349" s="357"/>
      <c r="L349" s="321"/>
      <c r="M349" s="355"/>
      <c r="N349" s="352"/>
      <c r="O349" s="352"/>
      <c r="P349" s="352"/>
      <c r="Q349" s="352"/>
      <c r="R349" s="352"/>
      <c r="S349" s="352"/>
      <c r="T349" s="352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</row>
    <row r="350" ht="15.75" customHeight="1">
      <c r="A350" s="352"/>
      <c r="B350" s="353"/>
      <c r="C350" s="352"/>
      <c r="D350" s="352"/>
      <c r="E350" s="353"/>
      <c r="F350" s="353"/>
      <c r="G350" s="317"/>
      <c r="H350" s="354"/>
      <c r="I350" s="355"/>
      <c r="J350" s="356"/>
      <c r="K350" s="357"/>
      <c r="L350" s="321"/>
      <c r="M350" s="355"/>
      <c r="N350" s="352"/>
      <c r="O350" s="352"/>
      <c r="P350" s="352"/>
      <c r="Q350" s="352"/>
      <c r="R350" s="352"/>
      <c r="S350" s="352"/>
      <c r="T350" s="352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</row>
    <row r="351" ht="15.75" customHeight="1">
      <c r="A351" s="352"/>
      <c r="B351" s="353"/>
      <c r="C351" s="352"/>
      <c r="D351" s="352"/>
      <c r="E351" s="353"/>
      <c r="F351" s="353"/>
      <c r="G351" s="317"/>
      <c r="H351" s="354"/>
      <c r="I351" s="355"/>
      <c r="J351" s="356"/>
      <c r="K351" s="357"/>
      <c r="L351" s="321"/>
      <c r="M351" s="355"/>
      <c r="N351" s="352"/>
      <c r="O351" s="352"/>
      <c r="P351" s="352"/>
      <c r="Q351" s="352"/>
      <c r="R351" s="352"/>
      <c r="S351" s="352"/>
      <c r="T351" s="352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</row>
    <row r="352" ht="15.75" customHeight="1">
      <c r="A352" s="352"/>
      <c r="B352" s="353"/>
      <c r="C352" s="352"/>
      <c r="D352" s="352"/>
      <c r="E352" s="353"/>
      <c r="F352" s="353"/>
      <c r="G352" s="317"/>
      <c r="H352" s="354"/>
      <c r="I352" s="355"/>
      <c r="J352" s="356"/>
      <c r="K352" s="357"/>
      <c r="L352" s="321"/>
      <c r="M352" s="355"/>
      <c r="N352" s="352"/>
      <c r="O352" s="352"/>
      <c r="P352" s="352"/>
      <c r="Q352" s="352"/>
      <c r="R352" s="352"/>
      <c r="S352" s="352"/>
      <c r="T352" s="352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</row>
    <row r="353" ht="15.75" customHeight="1">
      <c r="A353" s="352"/>
      <c r="B353" s="353"/>
      <c r="C353" s="352"/>
      <c r="D353" s="352"/>
      <c r="E353" s="353"/>
      <c r="F353" s="353"/>
      <c r="G353" s="317"/>
      <c r="H353" s="354"/>
      <c r="I353" s="355"/>
      <c r="J353" s="356"/>
      <c r="K353" s="357"/>
      <c r="L353" s="321"/>
      <c r="M353" s="355"/>
      <c r="N353" s="352"/>
      <c r="O353" s="352"/>
      <c r="P353" s="352"/>
      <c r="Q353" s="352"/>
      <c r="R353" s="352"/>
      <c r="S353" s="352"/>
      <c r="T353" s="352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</row>
    <row r="354" ht="15.75" customHeight="1">
      <c r="A354" s="352"/>
      <c r="B354" s="353"/>
      <c r="C354" s="352"/>
      <c r="D354" s="352"/>
      <c r="E354" s="353"/>
      <c r="F354" s="353"/>
      <c r="G354" s="317"/>
      <c r="H354" s="354"/>
      <c r="I354" s="355"/>
      <c r="J354" s="356"/>
      <c r="K354" s="357"/>
      <c r="L354" s="321"/>
      <c r="M354" s="355"/>
      <c r="N354" s="352"/>
      <c r="O354" s="352"/>
      <c r="P354" s="352"/>
      <c r="Q354" s="352"/>
      <c r="R354" s="352"/>
      <c r="S354" s="352"/>
      <c r="T354" s="352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</row>
    <row r="355" ht="15.75" customHeight="1">
      <c r="A355" s="352"/>
      <c r="B355" s="353"/>
      <c r="C355" s="352"/>
      <c r="D355" s="352"/>
      <c r="E355" s="353"/>
      <c r="F355" s="353"/>
      <c r="G355" s="317"/>
      <c r="H355" s="354"/>
      <c r="I355" s="355"/>
      <c r="J355" s="356"/>
      <c r="K355" s="357"/>
      <c r="L355" s="321"/>
      <c r="M355" s="355"/>
      <c r="N355" s="352"/>
      <c r="O355" s="352"/>
      <c r="P355" s="352"/>
      <c r="Q355" s="352"/>
      <c r="R355" s="352"/>
      <c r="S355" s="352"/>
      <c r="T355" s="352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</row>
    <row r="356" ht="15.75" customHeight="1">
      <c r="A356" s="352"/>
      <c r="B356" s="353"/>
      <c r="C356" s="352"/>
      <c r="D356" s="352"/>
      <c r="E356" s="353"/>
      <c r="F356" s="353"/>
      <c r="G356" s="317"/>
      <c r="H356" s="354"/>
      <c r="I356" s="355"/>
      <c r="J356" s="356"/>
      <c r="K356" s="357"/>
      <c r="L356" s="321"/>
      <c r="M356" s="355"/>
      <c r="N356" s="352"/>
      <c r="O356" s="352"/>
      <c r="P356" s="352"/>
      <c r="Q356" s="352"/>
      <c r="R356" s="352"/>
      <c r="S356" s="352"/>
      <c r="T356" s="352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</row>
    <row r="357" ht="15.75" customHeight="1">
      <c r="A357" s="352"/>
      <c r="B357" s="353"/>
      <c r="C357" s="352"/>
      <c r="D357" s="352"/>
      <c r="E357" s="353"/>
      <c r="F357" s="353"/>
      <c r="G357" s="317"/>
      <c r="H357" s="354"/>
      <c r="I357" s="355"/>
      <c r="J357" s="356"/>
      <c r="K357" s="357"/>
      <c r="L357" s="321"/>
      <c r="M357" s="355"/>
      <c r="N357" s="352"/>
      <c r="O357" s="352"/>
      <c r="P357" s="352"/>
      <c r="Q357" s="352"/>
      <c r="R357" s="352"/>
      <c r="S357" s="352"/>
      <c r="T357" s="352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</row>
    <row r="358" ht="15.75" customHeight="1">
      <c r="A358" s="352"/>
      <c r="B358" s="353"/>
      <c r="C358" s="352"/>
      <c r="D358" s="352"/>
      <c r="E358" s="353"/>
      <c r="F358" s="353"/>
      <c r="G358" s="317"/>
      <c r="H358" s="354"/>
      <c r="I358" s="355"/>
      <c r="J358" s="356"/>
      <c r="K358" s="357"/>
      <c r="L358" s="321"/>
      <c r="M358" s="355"/>
      <c r="N358" s="352"/>
      <c r="O358" s="352"/>
      <c r="P358" s="352"/>
      <c r="Q358" s="352"/>
      <c r="R358" s="352"/>
      <c r="S358" s="352"/>
      <c r="T358" s="352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</row>
    <row r="359" ht="15.75" customHeight="1">
      <c r="A359" s="352"/>
      <c r="B359" s="353"/>
      <c r="C359" s="352"/>
      <c r="D359" s="352"/>
      <c r="E359" s="353"/>
      <c r="F359" s="353"/>
      <c r="G359" s="317"/>
      <c r="H359" s="354"/>
      <c r="I359" s="355"/>
      <c r="J359" s="356"/>
      <c r="K359" s="357"/>
      <c r="L359" s="321"/>
      <c r="M359" s="355"/>
      <c r="N359" s="352"/>
      <c r="O359" s="352"/>
      <c r="P359" s="352"/>
      <c r="Q359" s="352"/>
      <c r="R359" s="352"/>
      <c r="S359" s="352"/>
      <c r="T359" s="352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</row>
    <row r="360" ht="15.75" customHeight="1">
      <c r="A360" s="352"/>
      <c r="B360" s="353"/>
      <c r="C360" s="352"/>
      <c r="D360" s="352"/>
      <c r="E360" s="353"/>
      <c r="F360" s="353"/>
      <c r="G360" s="317"/>
      <c r="H360" s="354"/>
      <c r="I360" s="355"/>
      <c r="J360" s="356"/>
      <c r="K360" s="357"/>
      <c r="L360" s="321"/>
      <c r="M360" s="355"/>
      <c r="N360" s="352"/>
      <c r="O360" s="352"/>
      <c r="P360" s="352"/>
      <c r="Q360" s="352"/>
      <c r="R360" s="352"/>
      <c r="S360" s="352"/>
      <c r="T360" s="352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</row>
    <row r="361" ht="15.75" customHeight="1">
      <c r="A361" s="352"/>
      <c r="B361" s="353"/>
      <c r="C361" s="352"/>
      <c r="D361" s="352"/>
      <c r="E361" s="353"/>
      <c r="F361" s="353"/>
      <c r="G361" s="317"/>
      <c r="H361" s="354"/>
      <c r="I361" s="355"/>
      <c r="J361" s="356"/>
      <c r="K361" s="357"/>
      <c r="L361" s="321"/>
      <c r="M361" s="355"/>
      <c r="N361" s="352"/>
      <c r="O361" s="352"/>
      <c r="P361" s="352"/>
      <c r="Q361" s="352"/>
      <c r="R361" s="352"/>
      <c r="S361" s="352"/>
      <c r="T361" s="352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</row>
    <row r="362" ht="15.75" customHeight="1">
      <c r="A362" s="352"/>
      <c r="B362" s="353"/>
      <c r="C362" s="352"/>
      <c r="D362" s="352"/>
      <c r="E362" s="353"/>
      <c r="F362" s="353"/>
      <c r="G362" s="317"/>
      <c r="H362" s="354"/>
      <c r="I362" s="355"/>
      <c r="J362" s="356"/>
      <c r="K362" s="357"/>
      <c r="L362" s="321"/>
      <c r="M362" s="355"/>
      <c r="N362" s="352"/>
      <c r="O362" s="352"/>
      <c r="P362" s="352"/>
      <c r="Q362" s="352"/>
      <c r="R362" s="352"/>
      <c r="S362" s="352"/>
      <c r="T362" s="352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</row>
    <row r="363" ht="15.75" customHeight="1">
      <c r="A363" s="352"/>
      <c r="B363" s="353"/>
      <c r="C363" s="352"/>
      <c r="D363" s="352"/>
      <c r="E363" s="353"/>
      <c r="F363" s="353"/>
      <c r="G363" s="317"/>
      <c r="H363" s="354"/>
      <c r="I363" s="355"/>
      <c r="J363" s="356"/>
      <c r="K363" s="357"/>
      <c r="L363" s="321"/>
      <c r="M363" s="355"/>
      <c r="N363" s="352"/>
      <c r="O363" s="352"/>
      <c r="P363" s="352"/>
      <c r="Q363" s="352"/>
      <c r="R363" s="352"/>
      <c r="S363" s="352"/>
      <c r="T363" s="352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</row>
    <row r="364" ht="15.75" customHeight="1">
      <c r="A364" s="352"/>
      <c r="B364" s="353"/>
      <c r="C364" s="352"/>
      <c r="D364" s="352"/>
      <c r="E364" s="353"/>
      <c r="F364" s="353"/>
      <c r="G364" s="317"/>
      <c r="H364" s="354"/>
      <c r="I364" s="355"/>
      <c r="J364" s="356"/>
      <c r="K364" s="357"/>
      <c r="L364" s="321"/>
      <c r="M364" s="355"/>
      <c r="N364" s="352"/>
      <c r="O364" s="352"/>
      <c r="P364" s="352"/>
      <c r="Q364" s="352"/>
      <c r="R364" s="352"/>
      <c r="S364" s="352"/>
      <c r="T364" s="352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</row>
    <row r="365" ht="15.75" customHeight="1">
      <c r="A365" s="352"/>
      <c r="B365" s="353"/>
      <c r="C365" s="352"/>
      <c r="D365" s="352"/>
      <c r="E365" s="353"/>
      <c r="F365" s="353"/>
      <c r="G365" s="317"/>
      <c r="H365" s="354"/>
      <c r="I365" s="355"/>
      <c r="J365" s="356"/>
      <c r="K365" s="357"/>
      <c r="L365" s="321"/>
      <c r="M365" s="355"/>
      <c r="N365" s="352"/>
      <c r="O365" s="352"/>
      <c r="P365" s="352"/>
      <c r="Q365" s="352"/>
      <c r="R365" s="352"/>
      <c r="S365" s="352"/>
      <c r="T365" s="352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</row>
    <row r="366" ht="15.75" customHeight="1">
      <c r="A366" s="352"/>
      <c r="B366" s="353"/>
      <c r="C366" s="352"/>
      <c r="D366" s="352"/>
      <c r="E366" s="353"/>
      <c r="F366" s="353"/>
      <c r="G366" s="317"/>
      <c r="H366" s="354"/>
      <c r="I366" s="355"/>
      <c r="J366" s="356"/>
      <c r="K366" s="357"/>
      <c r="L366" s="321"/>
      <c r="M366" s="355"/>
      <c r="N366" s="352"/>
      <c r="O366" s="352"/>
      <c r="P366" s="352"/>
      <c r="Q366" s="352"/>
      <c r="R366" s="352"/>
      <c r="S366" s="352"/>
      <c r="T366" s="352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</row>
    <row r="367" ht="15.75" customHeight="1">
      <c r="A367" s="352"/>
      <c r="B367" s="353"/>
      <c r="C367" s="352"/>
      <c r="D367" s="352"/>
      <c r="E367" s="353"/>
      <c r="F367" s="353"/>
      <c r="G367" s="317"/>
      <c r="H367" s="354"/>
      <c r="I367" s="355"/>
      <c r="J367" s="356"/>
      <c r="K367" s="357"/>
      <c r="L367" s="321"/>
      <c r="M367" s="355"/>
      <c r="N367" s="352"/>
      <c r="O367" s="352"/>
      <c r="P367" s="352"/>
      <c r="Q367" s="352"/>
      <c r="R367" s="352"/>
      <c r="S367" s="352"/>
      <c r="T367" s="352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</row>
    <row r="368" ht="15.75" customHeight="1">
      <c r="A368" s="352"/>
      <c r="B368" s="353"/>
      <c r="C368" s="352"/>
      <c r="D368" s="352"/>
      <c r="E368" s="353"/>
      <c r="F368" s="353"/>
      <c r="G368" s="317"/>
      <c r="H368" s="354"/>
      <c r="I368" s="355"/>
      <c r="J368" s="356"/>
      <c r="K368" s="357"/>
      <c r="L368" s="321"/>
      <c r="M368" s="355"/>
      <c r="N368" s="352"/>
      <c r="O368" s="352"/>
      <c r="P368" s="352"/>
      <c r="Q368" s="352"/>
      <c r="R368" s="352"/>
      <c r="S368" s="352"/>
      <c r="T368" s="352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</row>
    <row r="369" ht="15.75" customHeight="1">
      <c r="A369" s="352"/>
      <c r="B369" s="353"/>
      <c r="C369" s="352"/>
      <c r="D369" s="352"/>
      <c r="E369" s="353"/>
      <c r="F369" s="353"/>
      <c r="G369" s="317"/>
      <c r="H369" s="354"/>
      <c r="I369" s="355"/>
      <c r="J369" s="356"/>
      <c r="K369" s="357"/>
      <c r="L369" s="321"/>
      <c r="M369" s="355"/>
      <c r="N369" s="352"/>
      <c r="O369" s="352"/>
      <c r="P369" s="352"/>
      <c r="Q369" s="352"/>
      <c r="R369" s="352"/>
      <c r="S369" s="352"/>
      <c r="T369" s="352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</row>
    <row r="370" ht="15.75" customHeight="1">
      <c r="A370" s="352"/>
      <c r="B370" s="353"/>
      <c r="C370" s="352"/>
      <c r="D370" s="352"/>
      <c r="E370" s="353"/>
      <c r="F370" s="353"/>
      <c r="G370" s="317"/>
      <c r="H370" s="354"/>
      <c r="I370" s="355"/>
      <c r="J370" s="356"/>
      <c r="K370" s="357"/>
      <c r="L370" s="321"/>
      <c r="M370" s="355"/>
      <c r="N370" s="352"/>
      <c r="O370" s="352"/>
      <c r="P370" s="352"/>
      <c r="Q370" s="352"/>
      <c r="R370" s="352"/>
      <c r="S370" s="352"/>
      <c r="T370" s="352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</row>
    <row r="371" ht="15.75" customHeight="1">
      <c r="A371" s="352"/>
      <c r="B371" s="353"/>
      <c r="C371" s="352"/>
      <c r="D371" s="352"/>
      <c r="E371" s="353"/>
      <c r="F371" s="353"/>
      <c r="G371" s="317"/>
      <c r="H371" s="354"/>
      <c r="I371" s="355"/>
      <c r="J371" s="356"/>
      <c r="K371" s="357"/>
      <c r="L371" s="321"/>
      <c r="M371" s="355"/>
      <c r="N371" s="352"/>
      <c r="O371" s="352"/>
      <c r="P371" s="352"/>
      <c r="Q371" s="352"/>
      <c r="R371" s="352"/>
      <c r="S371" s="352"/>
      <c r="T371" s="352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</row>
    <row r="372" ht="15.75" customHeight="1">
      <c r="A372" s="352"/>
      <c r="B372" s="353"/>
      <c r="C372" s="352"/>
      <c r="D372" s="352"/>
      <c r="E372" s="353"/>
      <c r="F372" s="353"/>
      <c r="G372" s="317"/>
      <c r="H372" s="354"/>
      <c r="I372" s="355"/>
      <c r="J372" s="356"/>
      <c r="K372" s="357"/>
      <c r="L372" s="321"/>
      <c r="M372" s="355"/>
      <c r="N372" s="352"/>
      <c r="O372" s="352"/>
      <c r="P372" s="352"/>
      <c r="Q372" s="352"/>
      <c r="R372" s="352"/>
      <c r="S372" s="352"/>
      <c r="T372" s="352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</row>
    <row r="373" ht="15.75" customHeight="1">
      <c r="A373" s="352"/>
      <c r="B373" s="353"/>
      <c r="C373" s="352"/>
      <c r="D373" s="352"/>
      <c r="E373" s="353"/>
      <c r="F373" s="353"/>
      <c r="G373" s="317"/>
      <c r="H373" s="354"/>
      <c r="I373" s="355"/>
      <c r="J373" s="356"/>
      <c r="K373" s="357"/>
      <c r="L373" s="321"/>
      <c r="M373" s="355"/>
      <c r="N373" s="352"/>
      <c r="O373" s="352"/>
      <c r="P373" s="352"/>
      <c r="Q373" s="352"/>
      <c r="R373" s="352"/>
      <c r="S373" s="352"/>
      <c r="T373" s="352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</row>
    <row r="374" ht="15.75" customHeight="1">
      <c r="A374" s="352"/>
      <c r="B374" s="353"/>
      <c r="C374" s="352"/>
      <c r="D374" s="352"/>
      <c r="E374" s="353"/>
      <c r="F374" s="353"/>
      <c r="G374" s="317"/>
      <c r="H374" s="354"/>
      <c r="I374" s="355"/>
      <c r="J374" s="356"/>
      <c r="K374" s="357"/>
      <c r="L374" s="321"/>
      <c r="M374" s="355"/>
      <c r="N374" s="352"/>
      <c r="O374" s="352"/>
      <c r="P374" s="352"/>
      <c r="Q374" s="352"/>
      <c r="R374" s="352"/>
      <c r="S374" s="352"/>
      <c r="T374" s="352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</row>
    <row r="375" ht="15.75" customHeight="1">
      <c r="A375" s="352"/>
      <c r="B375" s="353"/>
      <c r="C375" s="352"/>
      <c r="D375" s="352"/>
      <c r="E375" s="353"/>
      <c r="F375" s="353"/>
      <c r="G375" s="317"/>
      <c r="H375" s="354"/>
      <c r="I375" s="355"/>
      <c r="J375" s="356"/>
      <c r="K375" s="357"/>
      <c r="L375" s="321"/>
      <c r="M375" s="355"/>
      <c r="N375" s="352"/>
      <c r="O375" s="352"/>
      <c r="P375" s="352"/>
      <c r="Q375" s="352"/>
      <c r="R375" s="352"/>
      <c r="S375" s="352"/>
      <c r="T375" s="352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</row>
    <row r="376" ht="15.75" customHeight="1">
      <c r="A376" s="352"/>
      <c r="B376" s="353"/>
      <c r="C376" s="352"/>
      <c r="D376" s="352"/>
      <c r="E376" s="353"/>
      <c r="F376" s="353"/>
      <c r="G376" s="317"/>
      <c r="H376" s="354"/>
      <c r="I376" s="355"/>
      <c r="J376" s="356"/>
      <c r="K376" s="357"/>
      <c r="L376" s="321"/>
      <c r="M376" s="355"/>
      <c r="N376" s="352"/>
      <c r="O376" s="352"/>
      <c r="P376" s="352"/>
      <c r="Q376" s="352"/>
      <c r="R376" s="352"/>
      <c r="S376" s="352"/>
      <c r="T376" s="352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</row>
    <row r="377" ht="15.75" customHeight="1">
      <c r="A377" s="352"/>
      <c r="B377" s="353"/>
      <c r="C377" s="352"/>
      <c r="D377" s="352"/>
      <c r="E377" s="353"/>
      <c r="F377" s="353"/>
      <c r="G377" s="317"/>
      <c r="H377" s="354"/>
      <c r="I377" s="355"/>
      <c r="J377" s="356"/>
      <c r="K377" s="357"/>
      <c r="L377" s="321"/>
      <c r="M377" s="355"/>
      <c r="N377" s="352"/>
      <c r="O377" s="352"/>
      <c r="P377" s="352"/>
      <c r="Q377" s="352"/>
      <c r="R377" s="352"/>
      <c r="S377" s="352"/>
      <c r="T377" s="352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</row>
    <row r="378" ht="15.75" customHeight="1">
      <c r="A378" s="352"/>
      <c r="B378" s="353"/>
      <c r="C378" s="352"/>
      <c r="D378" s="352"/>
      <c r="E378" s="353"/>
      <c r="F378" s="353"/>
      <c r="G378" s="317"/>
      <c r="H378" s="354"/>
      <c r="I378" s="355"/>
      <c r="J378" s="356"/>
      <c r="K378" s="357"/>
      <c r="L378" s="321"/>
      <c r="M378" s="355"/>
      <c r="N378" s="352"/>
      <c r="O378" s="352"/>
      <c r="P378" s="352"/>
      <c r="Q378" s="352"/>
      <c r="R378" s="352"/>
      <c r="S378" s="352"/>
      <c r="T378" s="352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</row>
    <row r="379" ht="15.75" customHeight="1">
      <c r="A379" s="352"/>
      <c r="B379" s="353"/>
      <c r="C379" s="352"/>
      <c r="D379" s="352"/>
      <c r="E379" s="353"/>
      <c r="F379" s="353"/>
      <c r="G379" s="317"/>
      <c r="H379" s="354"/>
      <c r="I379" s="355"/>
      <c r="J379" s="356"/>
      <c r="K379" s="357"/>
      <c r="L379" s="321"/>
      <c r="M379" s="355"/>
      <c r="N379" s="352"/>
      <c r="O379" s="352"/>
      <c r="P379" s="352"/>
      <c r="Q379" s="352"/>
      <c r="R379" s="352"/>
      <c r="S379" s="352"/>
      <c r="T379" s="352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</row>
    <row r="380" ht="15.75" customHeight="1">
      <c r="A380" s="352"/>
      <c r="B380" s="353"/>
      <c r="C380" s="352"/>
      <c r="D380" s="352"/>
      <c r="E380" s="353"/>
      <c r="F380" s="353"/>
      <c r="G380" s="317"/>
      <c r="H380" s="354"/>
      <c r="I380" s="355"/>
      <c r="J380" s="356"/>
      <c r="K380" s="357"/>
      <c r="L380" s="321"/>
      <c r="M380" s="355"/>
      <c r="N380" s="352"/>
      <c r="O380" s="352"/>
      <c r="P380" s="352"/>
      <c r="Q380" s="352"/>
      <c r="R380" s="352"/>
      <c r="S380" s="352"/>
      <c r="T380" s="352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</row>
    <row r="381" ht="15.75" customHeight="1">
      <c r="A381" s="352"/>
      <c r="B381" s="353"/>
      <c r="C381" s="352"/>
      <c r="D381" s="352"/>
      <c r="E381" s="353"/>
      <c r="F381" s="353"/>
      <c r="G381" s="317"/>
      <c r="H381" s="354"/>
      <c r="I381" s="355"/>
      <c r="J381" s="356"/>
      <c r="K381" s="357"/>
      <c r="L381" s="321"/>
      <c r="M381" s="355"/>
      <c r="N381" s="352"/>
      <c r="O381" s="352"/>
      <c r="P381" s="352"/>
      <c r="Q381" s="352"/>
      <c r="R381" s="352"/>
      <c r="S381" s="352"/>
      <c r="T381" s="352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</row>
    <row r="382" ht="15.75" customHeight="1">
      <c r="A382" s="352"/>
      <c r="B382" s="353"/>
      <c r="C382" s="352"/>
      <c r="D382" s="352"/>
      <c r="E382" s="353"/>
      <c r="F382" s="353"/>
      <c r="G382" s="317"/>
      <c r="H382" s="354"/>
      <c r="I382" s="355"/>
      <c r="J382" s="356"/>
      <c r="K382" s="357"/>
      <c r="L382" s="321"/>
      <c r="M382" s="355"/>
      <c r="N382" s="352"/>
      <c r="O382" s="352"/>
      <c r="P382" s="352"/>
      <c r="Q382" s="352"/>
      <c r="R382" s="352"/>
      <c r="S382" s="352"/>
      <c r="T382" s="352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</row>
    <row r="383" ht="15.75" customHeight="1">
      <c r="A383" s="352"/>
      <c r="B383" s="353"/>
      <c r="C383" s="352"/>
      <c r="D383" s="352"/>
      <c r="E383" s="353"/>
      <c r="F383" s="353"/>
      <c r="G383" s="317"/>
      <c r="H383" s="354"/>
      <c r="I383" s="355"/>
      <c r="J383" s="356"/>
      <c r="K383" s="357"/>
      <c r="L383" s="321"/>
      <c r="M383" s="355"/>
      <c r="N383" s="352"/>
      <c r="O383" s="352"/>
      <c r="P383" s="352"/>
      <c r="Q383" s="352"/>
      <c r="R383" s="352"/>
      <c r="S383" s="352"/>
      <c r="T383" s="352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</row>
    <row r="384" ht="15.75" customHeight="1">
      <c r="A384" s="352"/>
      <c r="B384" s="353"/>
      <c r="C384" s="352"/>
      <c r="D384" s="352"/>
      <c r="E384" s="353"/>
      <c r="F384" s="353"/>
      <c r="G384" s="317"/>
      <c r="H384" s="354"/>
      <c r="I384" s="355"/>
      <c r="J384" s="356"/>
      <c r="K384" s="357"/>
      <c r="L384" s="321"/>
      <c r="M384" s="355"/>
      <c r="N384" s="352"/>
      <c r="O384" s="352"/>
      <c r="P384" s="352"/>
      <c r="Q384" s="352"/>
      <c r="R384" s="352"/>
      <c r="S384" s="352"/>
      <c r="T384" s="352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</row>
    <row r="385" ht="15.75" customHeight="1">
      <c r="A385" s="352"/>
      <c r="B385" s="353"/>
      <c r="C385" s="352"/>
      <c r="D385" s="352"/>
      <c r="E385" s="353"/>
      <c r="F385" s="353"/>
      <c r="G385" s="317"/>
      <c r="H385" s="354"/>
      <c r="I385" s="355"/>
      <c r="J385" s="356"/>
      <c r="K385" s="357"/>
      <c r="L385" s="321"/>
      <c r="M385" s="355"/>
      <c r="N385" s="352"/>
      <c r="O385" s="352"/>
      <c r="P385" s="352"/>
      <c r="Q385" s="352"/>
      <c r="R385" s="352"/>
      <c r="S385" s="352"/>
      <c r="T385" s="352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</row>
    <row r="386" ht="15.75" customHeight="1">
      <c r="A386" s="352"/>
      <c r="B386" s="353"/>
      <c r="C386" s="352"/>
      <c r="D386" s="352"/>
      <c r="E386" s="353"/>
      <c r="F386" s="353"/>
      <c r="G386" s="317"/>
      <c r="H386" s="354"/>
      <c r="I386" s="355"/>
      <c r="J386" s="356"/>
      <c r="K386" s="357"/>
      <c r="L386" s="321"/>
      <c r="M386" s="355"/>
      <c r="N386" s="352"/>
      <c r="O386" s="352"/>
      <c r="P386" s="352"/>
      <c r="Q386" s="352"/>
      <c r="R386" s="352"/>
      <c r="S386" s="352"/>
      <c r="T386" s="352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</row>
    <row r="387" ht="15.75" customHeight="1">
      <c r="A387" s="352"/>
      <c r="B387" s="353"/>
      <c r="C387" s="352"/>
      <c r="D387" s="352"/>
      <c r="E387" s="353"/>
      <c r="F387" s="353"/>
      <c r="G387" s="317"/>
      <c r="H387" s="354"/>
      <c r="I387" s="355"/>
      <c r="J387" s="356"/>
      <c r="K387" s="357"/>
      <c r="L387" s="321"/>
      <c r="M387" s="355"/>
      <c r="N387" s="352"/>
      <c r="O387" s="352"/>
      <c r="P387" s="352"/>
      <c r="Q387" s="352"/>
      <c r="R387" s="352"/>
      <c r="S387" s="352"/>
      <c r="T387" s="352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</row>
    <row r="388" ht="15.75" customHeight="1">
      <c r="A388" s="352"/>
      <c r="B388" s="353"/>
      <c r="C388" s="352"/>
      <c r="D388" s="352"/>
      <c r="E388" s="353"/>
      <c r="F388" s="353"/>
      <c r="G388" s="317"/>
      <c r="H388" s="354"/>
      <c r="I388" s="355"/>
      <c r="J388" s="356"/>
      <c r="K388" s="357"/>
      <c r="L388" s="321"/>
      <c r="M388" s="355"/>
      <c r="N388" s="352"/>
      <c r="O388" s="352"/>
      <c r="P388" s="352"/>
      <c r="Q388" s="352"/>
      <c r="R388" s="352"/>
      <c r="S388" s="352"/>
      <c r="T388" s="352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</row>
    <row r="389" ht="15.75" customHeight="1">
      <c r="A389" s="352"/>
      <c r="B389" s="353"/>
      <c r="C389" s="352"/>
      <c r="D389" s="352"/>
      <c r="E389" s="353"/>
      <c r="F389" s="353"/>
      <c r="G389" s="317"/>
      <c r="H389" s="354"/>
      <c r="I389" s="355"/>
      <c r="J389" s="356"/>
      <c r="K389" s="357"/>
      <c r="L389" s="321"/>
      <c r="M389" s="355"/>
      <c r="N389" s="352"/>
      <c r="O389" s="352"/>
      <c r="P389" s="352"/>
      <c r="Q389" s="352"/>
      <c r="R389" s="352"/>
      <c r="S389" s="352"/>
      <c r="T389" s="352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</row>
    <row r="390" ht="15.75" customHeight="1">
      <c r="A390" s="352"/>
      <c r="B390" s="353"/>
      <c r="C390" s="352"/>
      <c r="D390" s="352"/>
      <c r="E390" s="353"/>
      <c r="F390" s="353"/>
      <c r="G390" s="317"/>
      <c r="H390" s="354"/>
      <c r="I390" s="355"/>
      <c r="J390" s="356"/>
      <c r="K390" s="357"/>
      <c r="L390" s="321"/>
      <c r="M390" s="355"/>
      <c r="N390" s="352"/>
      <c r="O390" s="352"/>
      <c r="P390" s="352"/>
      <c r="Q390" s="352"/>
      <c r="R390" s="352"/>
      <c r="S390" s="352"/>
      <c r="T390" s="352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</row>
    <row r="391" ht="15.75" customHeight="1">
      <c r="A391" s="352"/>
      <c r="B391" s="353"/>
      <c r="C391" s="352"/>
      <c r="D391" s="352"/>
      <c r="E391" s="353"/>
      <c r="F391" s="353"/>
      <c r="G391" s="317"/>
      <c r="H391" s="354"/>
      <c r="I391" s="355"/>
      <c r="J391" s="356"/>
      <c r="K391" s="357"/>
      <c r="L391" s="321"/>
      <c r="M391" s="355"/>
      <c r="N391" s="352"/>
      <c r="O391" s="352"/>
      <c r="P391" s="352"/>
      <c r="Q391" s="352"/>
      <c r="R391" s="352"/>
      <c r="S391" s="352"/>
      <c r="T391" s="352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</row>
    <row r="392" ht="15.75" customHeight="1">
      <c r="A392" s="352"/>
      <c r="B392" s="353"/>
      <c r="C392" s="352"/>
      <c r="D392" s="352"/>
      <c r="E392" s="353"/>
      <c r="F392" s="353"/>
      <c r="G392" s="317"/>
      <c r="H392" s="354"/>
      <c r="I392" s="355"/>
      <c r="J392" s="356"/>
      <c r="K392" s="357"/>
      <c r="L392" s="321"/>
      <c r="M392" s="355"/>
      <c r="N392" s="352"/>
      <c r="O392" s="352"/>
      <c r="P392" s="352"/>
      <c r="Q392" s="352"/>
      <c r="R392" s="352"/>
      <c r="S392" s="352"/>
      <c r="T392" s="352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</row>
    <row r="393" ht="15.75" customHeight="1">
      <c r="A393" s="352"/>
      <c r="B393" s="353"/>
      <c r="C393" s="352"/>
      <c r="D393" s="352"/>
      <c r="E393" s="353"/>
      <c r="F393" s="353"/>
      <c r="G393" s="317"/>
      <c r="H393" s="354"/>
      <c r="I393" s="355"/>
      <c r="J393" s="356"/>
      <c r="K393" s="357"/>
      <c r="L393" s="321"/>
      <c r="M393" s="355"/>
      <c r="N393" s="352"/>
      <c r="O393" s="352"/>
      <c r="P393" s="352"/>
      <c r="Q393" s="352"/>
      <c r="R393" s="352"/>
      <c r="S393" s="352"/>
      <c r="T393" s="352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</row>
    <row r="394" ht="15.75" customHeight="1">
      <c r="A394" s="352"/>
      <c r="B394" s="353"/>
      <c r="C394" s="352"/>
      <c r="D394" s="352"/>
      <c r="E394" s="353"/>
      <c r="F394" s="353"/>
      <c r="G394" s="317"/>
      <c r="H394" s="354"/>
      <c r="I394" s="355"/>
      <c r="J394" s="356"/>
      <c r="K394" s="357"/>
      <c r="L394" s="321"/>
      <c r="M394" s="355"/>
      <c r="N394" s="352"/>
      <c r="O394" s="352"/>
      <c r="P394" s="352"/>
      <c r="Q394" s="352"/>
      <c r="R394" s="352"/>
      <c r="S394" s="352"/>
      <c r="T394" s="352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</row>
    <row r="395" ht="15.75" customHeight="1">
      <c r="A395" s="352"/>
      <c r="B395" s="353"/>
      <c r="C395" s="352"/>
      <c r="D395" s="352"/>
      <c r="E395" s="353"/>
      <c r="F395" s="353"/>
      <c r="G395" s="317"/>
      <c r="H395" s="354"/>
      <c r="I395" s="355"/>
      <c r="J395" s="356"/>
      <c r="K395" s="357"/>
      <c r="L395" s="321"/>
      <c r="M395" s="355"/>
      <c r="N395" s="352"/>
      <c r="O395" s="352"/>
      <c r="P395" s="352"/>
      <c r="Q395" s="352"/>
      <c r="R395" s="352"/>
      <c r="S395" s="352"/>
      <c r="T395" s="352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</row>
    <row r="396" ht="15.75" customHeight="1">
      <c r="A396" s="352"/>
      <c r="B396" s="353"/>
      <c r="C396" s="352"/>
      <c r="D396" s="352"/>
      <c r="E396" s="353"/>
      <c r="F396" s="353"/>
      <c r="G396" s="317"/>
      <c r="H396" s="354"/>
      <c r="I396" s="355"/>
      <c r="J396" s="356"/>
      <c r="K396" s="357"/>
      <c r="L396" s="321"/>
      <c r="M396" s="355"/>
      <c r="N396" s="352"/>
      <c r="O396" s="352"/>
      <c r="P396" s="352"/>
      <c r="Q396" s="352"/>
      <c r="R396" s="352"/>
      <c r="S396" s="352"/>
      <c r="T396" s="352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</row>
    <row r="397" ht="15.75" customHeight="1">
      <c r="A397" s="352"/>
      <c r="B397" s="353"/>
      <c r="C397" s="352"/>
      <c r="D397" s="352"/>
      <c r="E397" s="353"/>
      <c r="F397" s="353"/>
      <c r="G397" s="317"/>
      <c r="H397" s="354"/>
      <c r="I397" s="355"/>
      <c r="J397" s="356"/>
      <c r="K397" s="357"/>
      <c r="L397" s="321"/>
      <c r="M397" s="355"/>
      <c r="N397" s="352"/>
      <c r="O397" s="352"/>
      <c r="P397" s="352"/>
      <c r="Q397" s="352"/>
      <c r="R397" s="352"/>
      <c r="S397" s="352"/>
      <c r="T397" s="352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</row>
    <row r="398" ht="15.75" customHeight="1">
      <c r="A398" s="352"/>
      <c r="B398" s="353"/>
      <c r="C398" s="352"/>
      <c r="D398" s="352"/>
      <c r="E398" s="353"/>
      <c r="F398" s="353"/>
      <c r="G398" s="317"/>
      <c r="H398" s="354"/>
      <c r="I398" s="355"/>
      <c r="J398" s="356"/>
      <c r="K398" s="357"/>
      <c r="L398" s="321"/>
      <c r="M398" s="355"/>
      <c r="N398" s="352"/>
      <c r="O398" s="352"/>
      <c r="P398" s="352"/>
      <c r="Q398" s="352"/>
      <c r="R398" s="352"/>
      <c r="S398" s="352"/>
      <c r="T398" s="352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</row>
    <row r="399" ht="15.75" customHeight="1">
      <c r="A399" s="352"/>
      <c r="B399" s="353"/>
      <c r="C399" s="352"/>
      <c r="D399" s="352"/>
      <c r="E399" s="353"/>
      <c r="F399" s="353"/>
      <c r="G399" s="317"/>
      <c r="H399" s="354"/>
      <c r="I399" s="355"/>
      <c r="J399" s="356"/>
      <c r="K399" s="357"/>
      <c r="L399" s="321"/>
      <c r="M399" s="355"/>
      <c r="N399" s="352"/>
      <c r="O399" s="352"/>
      <c r="P399" s="352"/>
      <c r="Q399" s="352"/>
      <c r="R399" s="352"/>
      <c r="S399" s="352"/>
      <c r="T399" s="352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</row>
    <row r="400" ht="15.75" customHeight="1">
      <c r="A400" s="352"/>
      <c r="B400" s="353"/>
      <c r="C400" s="352"/>
      <c r="D400" s="352"/>
      <c r="E400" s="353"/>
      <c r="F400" s="353"/>
      <c r="G400" s="317"/>
      <c r="H400" s="354"/>
      <c r="I400" s="355"/>
      <c r="J400" s="356"/>
      <c r="K400" s="357"/>
      <c r="L400" s="321"/>
      <c r="M400" s="355"/>
      <c r="N400" s="352"/>
      <c r="O400" s="352"/>
      <c r="P400" s="352"/>
      <c r="Q400" s="352"/>
      <c r="R400" s="352"/>
      <c r="S400" s="352"/>
      <c r="T400" s="352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</row>
    <row r="401" ht="15.75" customHeight="1">
      <c r="A401" s="352"/>
      <c r="B401" s="353"/>
      <c r="C401" s="352"/>
      <c r="D401" s="352"/>
      <c r="E401" s="353"/>
      <c r="F401" s="353"/>
      <c r="G401" s="317"/>
      <c r="H401" s="354"/>
      <c r="I401" s="355"/>
      <c r="J401" s="356"/>
      <c r="K401" s="357"/>
      <c r="L401" s="321"/>
      <c r="M401" s="355"/>
      <c r="N401" s="352"/>
      <c r="O401" s="352"/>
      <c r="P401" s="352"/>
      <c r="Q401" s="352"/>
      <c r="R401" s="352"/>
      <c r="S401" s="352"/>
      <c r="T401" s="352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</row>
    <row r="402" ht="15.75" customHeight="1">
      <c r="A402" s="352"/>
      <c r="B402" s="353"/>
      <c r="C402" s="352"/>
      <c r="D402" s="352"/>
      <c r="E402" s="353"/>
      <c r="F402" s="353"/>
      <c r="G402" s="317"/>
      <c r="H402" s="354"/>
      <c r="I402" s="355"/>
      <c r="J402" s="356"/>
      <c r="K402" s="357"/>
      <c r="L402" s="321"/>
      <c r="M402" s="355"/>
      <c r="N402" s="352"/>
      <c r="O402" s="352"/>
      <c r="P402" s="352"/>
      <c r="Q402" s="352"/>
      <c r="R402" s="352"/>
      <c r="S402" s="352"/>
      <c r="T402" s="352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</row>
    <row r="403" ht="15.75" customHeight="1">
      <c r="A403" s="352"/>
      <c r="B403" s="353"/>
      <c r="C403" s="352"/>
      <c r="D403" s="352"/>
      <c r="E403" s="353"/>
      <c r="F403" s="353"/>
      <c r="G403" s="317"/>
      <c r="H403" s="354"/>
      <c r="I403" s="355"/>
      <c r="J403" s="356"/>
      <c r="K403" s="357"/>
      <c r="L403" s="321"/>
      <c r="M403" s="355"/>
      <c r="N403" s="352"/>
      <c r="O403" s="352"/>
      <c r="P403" s="352"/>
      <c r="Q403" s="352"/>
      <c r="R403" s="352"/>
      <c r="S403" s="352"/>
      <c r="T403" s="352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</row>
    <row r="404" ht="15.75" customHeight="1">
      <c r="A404" s="352"/>
      <c r="B404" s="353"/>
      <c r="C404" s="352"/>
      <c r="D404" s="352"/>
      <c r="E404" s="353"/>
      <c r="F404" s="353"/>
      <c r="G404" s="317"/>
      <c r="H404" s="354"/>
      <c r="I404" s="355"/>
      <c r="J404" s="356"/>
      <c r="K404" s="357"/>
      <c r="L404" s="321"/>
      <c r="M404" s="355"/>
      <c r="N404" s="352"/>
      <c r="O404" s="352"/>
      <c r="P404" s="352"/>
      <c r="Q404" s="352"/>
      <c r="R404" s="352"/>
      <c r="S404" s="352"/>
      <c r="T404" s="352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</row>
    <row r="405" ht="15.75" customHeight="1">
      <c r="A405" s="352"/>
      <c r="B405" s="353"/>
      <c r="C405" s="352"/>
      <c r="D405" s="352"/>
      <c r="E405" s="353"/>
      <c r="F405" s="353"/>
      <c r="G405" s="317"/>
      <c r="H405" s="354"/>
      <c r="I405" s="355"/>
      <c r="J405" s="356"/>
      <c r="K405" s="357"/>
      <c r="L405" s="321"/>
      <c r="M405" s="355"/>
      <c r="N405" s="352"/>
      <c r="O405" s="352"/>
      <c r="P405" s="352"/>
      <c r="Q405" s="352"/>
      <c r="R405" s="352"/>
      <c r="S405" s="352"/>
      <c r="T405" s="352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</row>
    <row r="406" ht="15.75" customHeight="1">
      <c r="A406" s="352"/>
      <c r="B406" s="353"/>
      <c r="C406" s="352"/>
      <c r="D406" s="352"/>
      <c r="E406" s="353"/>
      <c r="F406" s="353"/>
      <c r="G406" s="317"/>
      <c r="H406" s="354"/>
      <c r="I406" s="355"/>
      <c r="J406" s="356"/>
      <c r="K406" s="357"/>
      <c r="L406" s="321"/>
      <c r="M406" s="355"/>
      <c r="N406" s="352"/>
      <c r="O406" s="352"/>
      <c r="P406" s="352"/>
      <c r="Q406" s="352"/>
      <c r="R406" s="352"/>
      <c r="S406" s="352"/>
      <c r="T406" s="352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</row>
    <row r="407" ht="15.75" customHeight="1">
      <c r="A407" s="352"/>
      <c r="B407" s="353"/>
      <c r="C407" s="352"/>
      <c r="D407" s="352"/>
      <c r="E407" s="353"/>
      <c r="F407" s="353"/>
      <c r="G407" s="317"/>
      <c r="H407" s="354"/>
      <c r="I407" s="355"/>
      <c r="J407" s="356"/>
      <c r="K407" s="357"/>
      <c r="L407" s="321"/>
      <c r="M407" s="355"/>
      <c r="N407" s="352"/>
      <c r="O407" s="352"/>
      <c r="P407" s="352"/>
      <c r="Q407" s="352"/>
      <c r="R407" s="352"/>
      <c r="S407" s="352"/>
      <c r="T407" s="352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</row>
    <row r="408" ht="15.75" customHeight="1">
      <c r="A408" s="352"/>
      <c r="B408" s="353"/>
      <c r="C408" s="352"/>
      <c r="D408" s="352"/>
      <c r="E408" s="353"/>
      <c r="F408" s="353"/>
      <c r="G408" s="317"/>
      <c r="H408" s="354"/>
      <c r="I408" s="355"/>
      <c r="J408" s="356"/>
      <c r="K408" s="357"/>
      <c r="L408" s="321"/>
      <c r="M408" s="355"/>
      <c r="N408" s="352"/>
      <c r="O408" s="352"/>
      <c r="P408" s="352"/>
      <c r="Q408" s="352"/>
      <c r="R408" s="352"/>
      <c r="S408" s="352"/>
      <c r="T408" s="352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</row>
    <row r="409" ht="15.75" customHeight="1">
      <c r="A409" s="352"/>
      <c r="B409" s="353"/>
      <c r="C409" s="352"/>
      <c r="D409" s="352"/>
      <c r="E409" s="353"/>
      <c r="F409" s="353"/>
      <c r="G409" s="317"/>
      <c r="H409" s="354"/>
      <c r="I409" s="355"/>
      <c r="J409" s="356"/>
      <c r="K409" s="357"/>
      <c r="L409" s="321"/>
      <c r="M409" s="355"/>
      <c r="N409" s="352"/>
      <c r="O409" s="352"/>
      <c r="P409" s="352"/>
      <c r="Q409" s="352"/>
      <c r="R409" s="352"/>
      <c r="S409" s="352"/>
      <c r="T409" s="352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</row>
    <row r="410" ht="15.75" customHeight="1">
      <c r="A410" s="352"/>
      <c r="B410" s="353"/>
      <c r="C410" s="352"/>
      <c r="D410" s="352"/>
      <c r="E410" s="353"/>
      <c r="F410" s="353"/>
      <c r="G410" s="317"/>
      <c r="H410" s="354"/>
      <c r="I410" s="355"/>
      <c r="J410" s="356"/>
      <c r="K410" s="357"/>
      <c r="L410" s="321"/>
      <c r="M410" s="355"/>
      <c r="N410" s="352"/>
      <c r="O410" s="352"/>
      <c r="P410" s="352"/>
      <c r="Q410" s="352"/>
      <c r="R410" s="352"/>
      <c r="S410" s="352"/>
      <c r="T410" s="352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</row>
    <row r="411" ht="15.75" customHeight="1">
      <c r="A411" s="352"/>
      <c r="B411" s="353"/>
      <c r="C411" s="352"/>
      <c r="D411" s="352"/>
      <c r="E411" s="353"/>
      <c r="F411" s="353"/>
      <c r="G411" s="317"/>
      <c r="H411" s="354"/>
      <c r="I411" s="355"/>
      <c r="J411" s="356"/>
      <c r="K411" s="357"/>
      <c r="L411" s="321"/>
      <c r="M411" s="355"/>
      <c r="N411" s="352"/>
      <c r="O411" s="352"/>
      <c r="P411" s="352"/>
      <c r="Q411" s="352"/>
      <c r="R411" s="352"/>
      <c r="S411" s="352"/>
      <c r="T411" s="352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</row>
    <row r="412" ht="15.75" customHeight="1">
      <c r="A412" s="352"/>
      <c r="B412" s="353"/>
      <c r="C412" s="352"/>
      <c r="D412" s="352"/>
      <c r="E412" s="353"/>
      <c r="F412" s="353"/>
      <c r="G412" s="317"/>
      <c r="H412" s="354"/>
      <c r="I412" s="355"/>
      <c r="J412" s="356"/>
      <c r="K412" s="357"/>
      <c r="L412" s="321"/>
      <c r="M412" s="355"/>
      <c r="N412" s="352"/>
      <c r="O412" s="352"/>
      <c r="P412" s="352"/>
      <c r="Q412" s="352"/>
      <c r="R412" s="352"/>
      <c r="S412" s="352"/>
      <c r="T412" s="352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</row>
    <row r="413" ht="15.75" customHeight="1">
      <c r="A413" s="352"/>
      <c r="B413" s="353"/>
      <c r="C413" s="352"/>
      <c r="D413" s="352"/>
      <c r="E413" s="353"/>
      <c r="F413" s="353"/>
      <c r="G413" s="317"/>
      <c r="H413" s="354"/>
      <c r="I413" s="355"/>
      <c r="J413" s="356"/>
      <c r="K413" s="357"/>
      <c r="L413" s="321"/>
      <c r="M413" s="355"/>
      <c r="N413" s="352"/>
      <c r="O413" s="352"/>
      <c r="P413" s="352"/>
      <c r="Q413" s="352"/>
      <c r="R413" s="352"/>
      <c r="S413" s="352"/>
      <c r="T413" s="352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</row>
    <row r="414" ht="15.75" customHeight="1">
      <c r="A414" s="352"/>
      <c r="B414" s="353"/>
      <c r="C414" s="352"/>
      <c r="D414" s="352"/>
      <c r="E414" s="353"/>
      <c r="F414" s="353"/>
      <c r="G414" s="317"/>
      <c r="H414" s="354"/>
      <c r="I414" s="355"/>
      <c r="J414" s="356"/>
      <c r="K414" s="357"/>
      <c r="L414" s="321"/>
      <c r="M414" s="355"/>
      <c r="N414" s="352"/>
      <c r="O414" s="352"/>
      <c r="P414" s="352"/>
      <c r="Q414" s="352"/>
      <c r="R414" s="352"/>
      <c r="S414" s="352"/>
      <c r="T414" s="352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</row>
    <row r="415" ht="15.75" customHeight="1">
      <c r="A415" s="352"/>
      <c r="B415" s="353"/>
      <c r="C415" s="352"/>
      <c r="D415" s="352"/>
      <c r="E415" s="353"/>
      <c r="F415" s="353"/>
      <c r="G415" s="317"/>
      <c r="H415" s="354"/>
      <c r="I415" s="355"/>
      <c r="J415" s="356"/>
      <c r="K415" s="357"/>
      <c r="L415" s="321"/>
      <c r="M415" s="355"/>
      <c r="N415" s="352"/>
      <c r="O415" s="352"/>
      <c r="P415" s="352"/>
      <c r="Q415" s="352"/>
      <c r="R415" s="352"/>
      <c r="S415" s="352"/>
      <c r="T415" s="352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</row>
    <row r="416" ht="15.75" customHeight="1">
      <c r="A416" s="352"/>
      <c r="B416" s="353"/>
      <c r="C416" s="352"/>
      <c r="D416" s="352"/>
      <c r="E416" s="353"/>
      <c r="F416" s="353"/>
      <c r="G416" s="317"/>
      <c r="H416" s="354"/>
      <c r="I416" s="355"/>
      <c r="J416" s="356"/>
      <c r="K416" s="357"/>
      <c r="L416" s="321"/>
      <c r="M416" s="355"/>
      <c r="N416" s="352"/>
      <c r="O416" s="352"/>
      <c r="P416" s="352"/>
      <c r="Q416" s="352"/>
      <c r="R416" s="352"/>
      <c r="S416" s="352"/>
      <c r="T416" s="352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</row>
    <row r="417" ht="15.75" customHeight="1">
      <c r="A417" s="352"/>
      <c r="B417" s="353"/>
      <c r="C417" s="352"/>
      <c r="D417" s="352"/>
      <c r="E417" s="353"/>
      <c r="F417" s="353"/>
      <c r="G417" s="317"/>
      <c r="H417" s="354"/>
      <c r="I417" s="355"/>
      <c r="J417" s="356"/>
      <c r="K417" s="357"/>
      <c r="L417" s="321"/>
      <c r="M417" s="355"/>
      <c r="N417" s="352"/>
      <c r="O417" s="352"/>
      <c r="P417" s="352"/>
      <c r="Q417" s="352"/>
      <c r="R417" s="352"/>
      <c r="S417" s="352"/>
      <c r="T417" s="352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</row>
    <row r="418" ht="15.75" customHeight="1">
      <c r="A418" s="352"/>
      <c r="B418" s="353"/>
      <c r="C418" s="352"/>
      <c r="D418" s="352"/>
      <c r="E418" s="353"/>
      <c r="F418" s="353"/>
      <c r="G418" s="317"/>
      <c r="H418" s="354"/>
      <c r="I418" s="355"/>
      <c r="J418" s="356"/>
      <c r="K418" s="357"/>
      <c r="L418" s="321"/>
      <c r="M418" s="355"/>
      <c r="N418" s="352"/>
      <c r="O418" s="352"/>
      <c r="P418" s="352"/>
      <c r="Q418" s="352"/>
      <c r="R418" s="352"/>
      <c r="S418" s="352"/>
      <c r="T418" s="352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</row>
    <row r="419" ht="15.75" customHeight="1">
      <c r="A419" s="352"/>
      <c r="B419" s="353"/>
      <c r="C419" s="352"/>
      <c r="D419" s="352"/>
      <c r="E419" s="353"/>
      <c r="F419" s="353"/>
      <c r="G419" s="317"/>
      <c r="H419" s="354"/>
      <c r="I419" s="355"/>
      <c r="J419" s="356"/>
      <c r="K419" s="357"/>
      <c r="L419" s="321"/>
      <c r="M419" s="355"/>
      <c r="N419" s="352"/>
      <c r="O419" s="352"/>
      <c r="P419" s="352"/>
      <c r="Q419" s="352"/>
      <c r="R419" s="352"/>
      <c r="S419" s="352"/>
      <c r="T419" s="352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</row>
    <row r="420" ht="15.75" customHeight="1">
      <c r="A420" s="352"/>
      <c r="B420" s="353"/>
      <c r="C420" s="352"/>
      <c r="D420" s="352"/>
      <c r="E420" s="353"/>
      <c r="F420" s="353"/>
      <c r="G420" s="317"/>
      <c r="H420" s="354"/>
      <c r="I420" s="355"/>
      <c r="J420" s="356"/>
      <c r="K420" s="357"/>
      <c r="L420" s="321"/>
      <c r="M420" s="355"/>
      <c r="N420" s="352"/>
      <c r="O420" s="352"/>
      <c r="P420" s="352"/>
      <c r="Q420" s="352"/>
      <c r="R420" s="352"/>
      <c r="S420" s="352"/>
      <c r="T420" s="352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</row>
    <row r="421" ht="15.75" customHeight="1">
      <c r="A421" s="352"/>
      <c r="B421" s="353"/>
      <c r="C421" s="352"/>
      <c r="D421" s="352"/>
      <c r="E421" s="353"/>
      <c r="F421" s="353"/>
      <c r="G421" s="317"/>
      <c r="H421" s="354"/>
      <c r="I421" s="355"/>
      <c r="J421" s="356"/>
      <c r="K421" s="357"/>
      <c r="L421" s="321"/>
      <c r="M421" s="355"/>
      <c r="N421" s="352"/>
      <c r="O421" s="352"/>
      <c r="P421" s="352"/>
      <c r="Q421" s="352"/>
      <c r="R421" s="352"/>
      <c r="S421" s="352"/>
      <c r="T421" s="352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</row>
    <row r="422" ht="15.75" customHeight="1">
      <c r="A422" s="352"/>
      <c r="B422" s="353"/>
      <c r="C422" s="352"/>
      <c r="D422" s="352"/>
      <c r="E422" s="353"/>
      <c r="F422" s="353"/>
      <c r="G422" s="317"/>
      <c r="H422" s="354"/>
      <c r="I422" s="355"/>
      <c r="J422" s="356"/>
      <c r="K422" s="357"/>
      <c r="L422" s="321"/>
      <c r="M422" s="355"/>
      <c r="N422" s="352"/>
      <c r="O422" s="352"/>
      <c r="P422" s="352"/>
      <c r="Q422" s="352"/>
      <c r="R422" s="352"/>
      <c r="S422" s="352"/>
      <c r="T422" s="352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</row>
    <row r="423" ht="15.75" customHeight="1">
      <c r="A423" s="352"/>
      <c r="B423" s="353"/>
      <c r="C423" s="352"/>
      <c r="D423" s="352"/>
      <c r="E423" s="353"/>
      <c r="F423" s="353"/>
      <c r="G423" s="317"/>
      <c r="H423" s="354"/>
      <c r="I423" s="355"/>
      <c r="J423" s="356"/>
      <c r="K423" s="357"/>
      <c r="L423" s="321"/>
      <c r="M423" s="355"/>
      <c r="N423" s="352"/>
      <c r="O423" s="352"/>
      <c r="P423" s="352"/>
      <c r="Q423" s="352"/>
      <c r="R423" s="352"/>
      <c r="S423" s="352"/>
      <c r="T423" s="352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</row>
    <row r="424" ht="15.75" customHeight="1">
      <c r="A424" s="352"/>
      <c r="B424" s="353"/>
      <c r="C424" s="352"/>
      <c r="D424" s="352"/>
      <c r="E424" s="353"/>
      <c r="F424" s="353"/>
      <c r="G424" s="317"/>
      <c r="H424" s="354"/>
      <c r="I424" s="355"/>
      <c r="J424" s="356"/>
      <c r="K424" s="357"/>
      <c r="L424" s="321"/>
      <c r="M424" s="355"/>
      <c r="N424" s="352"/>
      <c r="O424" s="352"/>
      <c r="P424" s="352"/>
      <c r="Q424" s="352"/>
      <c r="R424" s="352"/>
      <c r="S424" s="352"/>
      <c r="T424" s="352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</row>
    <row r="425" ht="15.75" customHeight="1">
      <c r="A425" s="352"/>
      <c r="B425" s="353"/>
      <c r="C425" s="352"/>
      <c r="D425" s="352"/>
      <c r="E425" s="353"/>
      <c r="F425" s="353"/>
      <c r="G425" s="317"/>
      <c r="H425" s="354"/>
      <c r="I425" s="355"/>
      <c r="J425" s="356"/>
      <c r="K425" s="357"/>
      <c r="L425" s="321"/>
      <c r="M425" s="355"/>
      <c r="N425" s="352"/>
      <c r="O425" s="352"/>
      <c r="P425" s="352"/>
      <c r="Q425" s="352"/>
      <c r="R425" s="352"/>
      <c r="S425" s="352"/>
      <c r="T425" s="352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</row>
    <row r="426" ht="15.75" customHeight="1">
      <c r="A426" s="352"/>
      <c r="B426" s="353"/>
      <c r="C426" s="352"/>
      <c r="D426" s="352"/>
      <c r="E426" s="353"/>
      <c r="F426" s="353"/>
      <c r="G426" s="317"/>
      <c r="H426" s="354"/>
      <c r="I426" s="355"/>
      <c r="J426" s="356"/>
      <c r="K426" s="357"/>
      <c r="L426" s="321"/>
      <c r="M426" s="355"/>
      <c r="N426" s="352"/>
      <c r="O426" s="352"/>
      <c r="P426" s="352"/>
      <c r="Q426" s="352"/>
      <c r="R426" s="352"/>
      <c r="S426" s="352"/>
      <c r="T426" s="352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</row>
    <row r="427" ht="15.75" customHeight="1">
      <c r="A427" s="352"/>
      <c r="B427" s="353"/>
      <c r="C427" s="352"/>
      <c r="D427" s="352"/>
      <c r="E427" s="353"/>
      <c r="F427" s="353"/>
      <c r="G427" s="317"/>
      <c r="H427" s="354"/>
      <c r="I427" s="355"/>
      <c r="J427" s="356"/>
      <c r="K427" s="357"/>
      <c r="L427" s="321"/>
      <c r="M427" s="355"/>
      <c r="N427" s="352"/>
      <c r="O427" s="352"/>
      <c r="P427" s="352"/>
      <c r="Q427" s="352"/>
      <c r="R427" s="352"/>
      <c r="S427" s="352"/>
      <c r="T427" s="352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</row>
    <row r="428" ht="15.75" customHeight="1">
      <c r="A428" s="352"/>
      <c r="B428" s="353"/>
      <c r="C428" s="352"/>
      <c r="D428" s="352"/>
      <c r="E428" s="353"/>
      <c r="F428" s="353"/>
      <c r="G428" s="317"/>
      <c r="H428" s="354"/>
      <c r="I428" s="355"/>
      <c r="J428" s="356"/>
      <c r="K428" s="357"/>
      <c r="L428" s="321"/>
      <c r="M428" s="355"/>
      <c r="N428" s="352"/>
      <c r="O428" s="352"/>
      <c r="P428" s="352"/>
      <c r="Q428" s="352"/>
      <c r="R428" s="352"/>
      <c r="S428" s="352"/>
      <c r="T428" s="352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</row>
    <row r="429" ht="15.75" customHeight="1">
      <c r="A429" s="352"/>
      <c r="B429" s="353"/>
      <c r="C429" s="352"/>
      <c r="D429" s="352"/>
      <c r="E429" s="353"/>
      <c r="F429" s="353"/>
      <c r="G429" s="317"/>
      <c r="H429" s="354"/>
      <c r="I429" s="355"/>
      <c r="J429" s="356"/>
      <c r="K429" s="357"/>
      <c r="L429" s="321"/>
      <c r="M429" s="355"/>
      <c r="N429" s="352"/>
      <c r="O429" s="352"/>
      <c r="P429" s="352"/>
      <c r="Q429" s="352"/>
      <c r="R429" s="352"/>
      <c r="S429" s="352"/>
      <c r="T429" s="352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</row>
    <row r="430" ht="15.75" customHeight="1">
      <c r="A430" s="352"/>
      <c r="B430" s="353"/>
      <c r="C430" s="352"/>
      <c r="D430" s="352"/>
      <c r="E430" s="353"/>
      <c r="F430" s="353"/>
      <c r="G430" s="317"/>
      <c r="H430" s="354"/>
      <c r="I430" s="355"/>
      <c r="J430" s="356"/>
      <c r="K430" s="357"/>
      <c r="L430" s="321"/>
      <c r="M430" s="355"/>
      <c r="N430" s="352"/>
      <c r="O430" s="352"/>
      <c r="P430" s="352"/>
      <c r="Q430" s="352"/>
      <c r="R430" s="352"/>
      <c r="S430" s="352"/>
      <c r="T430" s="352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</row>
    <row r="431" ht="15.75" customHeight="1">
      <c r="A431" s="352"/>
      <c r="B431" s="353"/>
      <c r="C431" s="352"/>
      <c r="D431" s="352"/>
      <c r="E431" s="353"/>
      <c r="F431" s="353"/>
      <c r="G431" s="317"/>
      <c r="H431" s="354"/>
      <c r="I431" s="355"/>
      <c r="J431" s="356"/>
      <c r="K431" s="357"/>
      <c r="L431" s="321"/>
      <c r="M431" s="355"/>
      <c r="N431" s="352"/>
      <c r="O431" s="352"/>
      <c r="P431" s="352"/>
      <c r="Q431" s="352"/>
      <c r="R431" s="352"/>
      <c r="S431" s="352"/>
      <c r="T431" s="352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</row>
    <row r="432" ht="15.75" customHeight="1">
      <c r="A432" s="352"/>
      <c r="B432" s="353"/>
      <c r="C432" s="352"/>
      <c r="D432" s="352"/>
      <c r="E432" s="353"/>
      <c r="F432" s="353"/>
      <c r="G432" s="317"/>
      <c r="H432" s="354"/>
      <c r="I432" s="355"/>
      <c r="J432" s="356"/>
      <c r="K432" s="357"/>
      <c r="L432" s="321"/>
      <c r="M432" s="355"/>
      <c r="N432" s="352"/>
      <c r="O432" s="352"/>
      <c r="P432" s="352"/>
      <c r="Q432" s="352"/>
      <c r="R432" s="352"/>
      <c r="S432" s="352"/>
      <c r="T432" s="352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</row>
    <row r="433" ht="15.75" customHeight="1">
      <c r="A433" s="352"/>
      <c r="B433" s="353"/>
      <c r="C433" s="352"/>
      <c r="D433" s="352"/>
      <c r="E433" s="353"/>
      <c r="F433" s="353"/>
      <c r="G433" s="317"/>
      <c r="H433" s="354"/>
      <c r="I433" s="355"/>
      <c r="J433" s="356"/>
      <c r="K433" s="357"/>
      <c r="L433" s="321"/>
      <c r="M433" s="355"/>
      <c r="N433" s="352"/>
      <c r="O433" s="352"/>
      <c r="P433" s="352"/>
      <c r="Q433" s="352"/>
      <c r="R433" s="352"/>
      <c r="S433" s="352"/>
      <c r="T433" s="352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</row>
    <row r="434" ht="15.75" customHeight="1">
      <c r="A434" s="352"/>
      <c r="B434" s="353"/>
      <c r="C434" s="352"/>
      <c r="D434" s="352"/>
      <c r="E434" s="353"/>
      <c r="F434" s="353"/>
      <c r="G434" s="317"/>
      <c r="H434" s="354"/>
      <c r="I434" s="355"/>
      <c r="J434" s="356"/>
      <c r="K434" s="357"/>
      <c r="L434" s="321"/>
      <c r="M434" s="355"/>
      <c r="N434" s="352"/>
      <c r="O434" s="352"/>
      <c r="P434" s="352"/>
      <c r="Q434" s="352"/>
      <c r="R434" s="352"/>
      <c r="S434" s="352"/>
      <c r="T434" s="352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</row>
    <row r="435" ht="15.75" customHeight="1">
      <c r="A435" s="352"/>
      <c r="B435" s="353"/>
      <c r="C435" s="352"/>
      <c r="D435" s="352"/>
      <c r="E435" s="353"/>
      <c r="F435" s="353"/>
      <c r="G435" s="317"/>
      <c r="H435" s="354"/>
      <c r="I435" s="355"/>
      <c r="J435" s="356"/>
      <c r="K435" s="357"/>
      <c r="L435" s="321"/>
      <c r="M435" s="355"/>
      <c r="N435" s="352"/>
      <c r="O435" s="352"/>
      <c r="P435" s="352"/>
      <c r="Q435" s="352"/>
      <c r="R435" s="352"/>
      <c r="S435" s="352"/>
      <c r="T435" s="352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</row>
    <row r="436" ht="15.75" customHeight="1">
      <c r="A436" s="352"/>
      <c r="B436" s="353"/>
      <c r="C436" s="352"/>
      <c r="D436" s="352"/>
      <c r="E436" s="353"/>
      <c r="F436" s="353"/>
      <c r="G436" s="317"/>
      <c r="H436" s="354"/>
      <c r="I436" s="355"/>
      <c r="J436" s="356"/>
      <c r="K436" s="357"/>
      <c r="L436" s="321"/>
      <c r="M436" s="355"/>
      <c r="N436" s="352"/>
      <c r="O436" s="352"/>
      <c r="P436" s="352"/>
      <c r="Q436" s="352"/>
      <c r="R436" s="352"/>
      <c r="S436" s="352"/>
      <c r="T436" s="352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</row>
    <row r="437" ht="15.75" customHeight="1">
      <c r="A437" s="352"/>
      <c r="B437" s="353"/>
      <c r="C437" s="352"/>
      <c r="D437" s="352"/>
      <c r="E437" s="353"/>
      <c r="F437" s="353"/>
      <c r="G437" s="317"/>
      <c r="H437" s="354"/>
      <c r="I437" s="355"/>
      <c r="J437" s="356"/>
      <c r="K437" s="357"/>
      <c r="L437" s="321"/>
      <c r="M437" s="355"/>
      <c r="N437" s="352"/>
      <c r="O437" s="352"/>
      <c r="P437" s="352"/>
      <c r="Q437" s="352"/>
      <c r="R437" s="352"/>
      <c r="S437" s="352"/>
      <c r="T437" s="352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</row>
    <row r="438" ht="15.75" customHeight="1">
      <c r="A438" s="352"/>
      <c r="B438" s="353"/>
      <c r="C438" s="352"/>
      <c r="D438" s="352"/>
      <c r="E438" s="353"/>
      <c r="F438" s="353"/>
      <c r="G438" s="317"/>
      <c r="H438" s="354"/>
      <c r="I438" s="355"/>
      <c r="J438" s="356"/>
      <c r="K438" s="357"/>
      <c r="L438" s="321"/>
      <c r="M438" s="355"/>
      <c r="N438" s="352"/>
      <c r="O438" s="352"/>
      <c r="P438" s="352"/>
      <c r="Q438" s="352"/>
      <c r="R438" s="352"/>
      <c r="S438" s="352"/>
      <c r="T438" s="352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</row>
    <row r="439" ht="15.75" customHeight="1">
      <c r="A439" s="352"/>
      <c r="B439" s="353"/>
      <c r="C439" s="352"/>
      <c r="D439" s="352"/>
      <c r="E439" s="353"/>
      <c r="F439" s="353"/>
      <c r="G439" s="317"/>
      <c r="H439" s="354"/>
      <c r="I439" s="355"/>
      <c r="J439" s="356"/>
      <c r="K439" s="357"/>
      <c r="L439" s="321"/>
      <c r="M439" s="355"/>
      <c r="N439" s="352"/>
      <c r="O439" s="352"/>
      <c r="P439" s="352"/>
      <c r="Q439" s="352"/>
      <c r="R439" s="352"/>
      <c r="S439" s="352"/>
      <c r="T439" s="352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</row>
    <row r="440" ht="15.75" customHeight="1">
      <c r="A440" s="352"/>
      <c r="B440" s="353"/>
      <c r="C440" s="352"/>
      <c r="D440" s="352"/>
      <c r="E440" s="353"/>
      <c r="F440" s="353"/>
      <c r="G440" s="317"/>
      <c r="H440" s="354"/>
      <c r="I440" s="355"/>
      <c r="J440" s="356"/>
      <c r="K440" s="357"/>
      <c r="L440" s="321"/>
      <c r="M440" s="355"/>
      <c r="N440" s="352"/>
      <c r="O440" s="352"/>
      <c r="P440" s="352"/>
      <c r="Q440" s="352"/>
      <c r="R440" s="352"/>
      <c r="S440" s="352"/>
      <c r="T440" s="352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</row>
    <row r="441" ht="15.75" customHeight="1">
      <c r="A441" s="352"/>
      <c r="B441" s="353"/>
      <c r="C441" s="352"/>
      <c r="D441" s="352"/>
      <c r="E441" s="353"/>
      <c r="F441" s="353"/>
      <c r="G441" s="317"/>
      <c r="H441" s="354"/>
      <c r="I441" s="355"/>
      <c r="J441" s="356"/>
      <c r="K441" s="357"/>
      <c r="L441" s="321"/>
      <c r="M441" s="355"/>
      <c r="N441" s="352"/>
      <c r="O441" s="352"/>
      <c r="P441" s="352"/>
      <c r="Q441" s="352"/>
      <c r="R441" s="352"/>
      <c r="S441" s="352"/>
      <c r="T441" s="352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</row>
    <row r="442" ht="15.75" customHeight="1">
      <c r="A442" s="352"/>
      <c r="B442" s="353"/>
      <c r="C442" s="352"/>
      <c r="D442" s="352"/>
      <c r="E442" s="353"/>
      <c r="F442" s="353"/>
      <c r="G442" s="317"/>
      <c r="H442" s="354"/>
      <c r="I442" s="355"/>
      <c r="J442" s="356"/>
      <c r="K442" s="357"/>
      <c r="L442" s="321"/>
      <c r="M442" s="355"/>
      <c r="N442" s="352"/>
      <c r="O442" s="352"/>
      <c r="P442" s="352"/>
      <c r="Q442" s="352"/>
      <c r="R442" s="352"/>
      <c r="S442" s="352"/>
      <c r="T442" s="352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</row>
    <row r="443" ht="15.75" customHeight="1">
      <c r="A443" s="352"/>
      <c r="B443" s="353"/>
      <c r="C443" s="352"/>
      <c r="D443" s="352"/>
      <c r="E443" s="353"/>
      <c r="F443" s="353"/>
      <c r="G443" s="317"/>
      <c r="H443" s="354"/>
      <c r="I443" s="355"/>
      <c r="J443" s="356"/>
      <c r="K443" s="357"/>
      <c r="L443" s="321"/>
      <c r="M443" s="355"/>
      <c r="N443" s="352"/>
      <c r="O443" s="352"/>
      <c r="P443" s="352"/>
      <c r="Q443" s="352"/>
      <c r="R443" s="352"/>
      <c r="S443" s="352"/>
      <c r="T443" s="352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</row>
    <row r="444" ht="15.75" customHeight="1">
      <c r="A444" s="352"/>
      <c r="B444" s="353"/>
      <c r="C444" s="352"/>
      <c r="D444" s="352"/>
      <c r="E444" s="353"/>
      <c r="F444" s="353"/>
      <c r="G444" s="317"/>
      <c r="H444" s="354"/>
      <c r="I444" s="355"/>
      <c r="J444" s="356"/>
      <c r="K444" s="357"/>
      <c r="L444" s="321"/>
      <c r="M444" s="355"/>
      <c r="N444" s="352"/>
      <c r="O444" s="352"/>
      <c r="P444" s="352"/>
      <c r="Q444" s="352"/>
      <c r="R444" s="352"/>
      <c r="S444" s="352"/>
      <c r="T444" s="352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</row>
    <row r="445" ht="15.75" customHeight="1">
      <c r="A445" s="352"/>
      <c r="B445" s="353"/>
      <c r="C445" s="352"/>
      <c r="D445" s="352"/>
      <c r="E445" s="353"/>
      <c r="F445" s="353"/>
      <c r="G445" s="317"/>
      <c r="H445" s="354"/>
      <c r="I445" s="355"/>
      <c r="J445" s="356"/>
      <c r="K445" s="357"/>
      <c r="L445" s="321"/>
      <c r="M445" s="355"/>
      <c r="N445" s="352"/>
      <c r="O445" s="352"/>
      <c r="P445" s="352"/>
      <c r="Q445" s="352"/>
      <c r="R445" s="352"/>
      <c r="S445" s="352"/>
      <c r="T445" s="352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</row>
    <row r="446" ht="15.75" customHeight="1">
      <c r="A446" s="352"/>
      <c r="B446" s="353"/>
      <c r="C446" s="352"/>
      <c r="D446" s="352"/>
      <c r="E446" s="353"/>
      <c r="F446" s="353"/>
      <c r="G446" s="317"/>
      <c r="H446" s="354"/>
      <c r="I446" s="355"/>
      <c r="J446" s="356"/>
      <c r="K446" s="357"/>
      <c r="L446" s="321"/>
      <c r="M446" s="355"/>
      <c r="N446" s="352"/>
      <c r="O446" s="352"/>
      <c r="P446" s="352"/>
      <c r="Q446" s="352"/>
      <c r="R446" s="352"/>
      <c r="S446" s="352"/>
      <c r="T446" s="352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</row>
    <row r="447" ht="15.75" customHeight="1">
      <c r="A447" s="352"/>
      <c r="B447" s="353"/>
      <c r="C447" s="352"/>
      <c r="D447" s="352"/>
      <c r="E447" s="353"/>
      <c r="F447" s="353"/>
      <c r="G447" s="317"/>
      <c r="H447" s="354"/>
      <c r="I447" s="355"/>
      <c r="J447" s="356"/>
      <c r="K447" s="357"/>
      <c r="L447" s="321"/>
      <c r="M447" s="355"/>
      <c r="N447" s="352"/>
      <c r="O447" s="352"/>
      <c r="P447" s="352"/>
      <c r="Q447" s="352"/>
      <c r="R447" s="352"/>
      <c r="S447" s="352"/>
      <c r="T447" s="352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</row>
    <row r="448" ht="15.75" customHeight="1">
      <c r="A448" s="352"/>
      <c r="B448" s="353"/>
      <c r="C448" s="352"/>
      <c r="D448" s="352"/>
      <c r="E448" s="353"/>
      <c r="F448" s="353"/>
      <c r="G448" s="317"/>
      <c r="H448" s="354"/>
      <c r="I448" s="355"/>
      <c r="J448" s="356"/>
      <c r="K448" s="357"/>
      <c r="L448" s="321"/>
      <c r="M448" s="355"/>
      <c r="N448" s="352"/>
      <c r="O448" s="352"/>
      <c r="P448" s="352"/>
      <c r="Q448" s="352"/>
      <c r="R448" s="352"/>
      <c r="S448" s="352"/>
      <c r="T448" s="352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</row>
    <row r="449" ht="15.75" customHeight="1">
      <c r="A449" s="352"/>
      <c r="B449" s="353"/>
      <c r="C449" s="352"/>
      <c r="D449" s="352"/>
      <c r="E449" s="353"/>
      <c r="F449" s="353"/>
      <c r="G449" s="317"/>
      <c r="H449" s="354"/>
      <c r="I449" s="355"/>
      <c r="J449" s="356"/>
      <c r="K449" s="357"/>
      <c r="L449" s="321"/>
      <c r="M449" s="355"/>
      <c r="N449" s="352"/>
      <c r="O449" s="352"/>
      <c r="P449" s="352"/>
      <c r="Q449" s="352"/>
      <c r="R449" s="352"/>
      <c r="S449" s="352"/>
      <c r="T449" s="352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</row>
    <row r="450" ht="15.75" customHeight="1">
      <c r="A450" s="352"/>
      <c r="B450" s="353"/>
      <c r="C450" s="352"/>
      <c r="D450" s="352"/>
      <c r="E450" s="353"/>
      <c r="F450" s="353"/>
      <c r="G450" s="317"/>
      <c r="H450" s="354"/>
      <c r="I450" s="355"/>
      <c r="J450" s="356"/>
      <c r="K450" s="357"/>
      <c r="L450" s="321"/>
      <c r="M450" s="355"/>
      <c r="N450" s="352"/>
      <c r="O450" s="352"/>
      <c r="P450" s="352"/>
      <c r="Q450" s="352"/>
      <c r="R450" s="352"/>
      <c r="S450" s="352"/>
      <c r="T450" s="352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</row>
    <row r="451" ht="15.75" customHeight="1">
      <c r="A451" s="352"/>
      <c r="B451" s="353"/>
      <c r="C451" s="352"/>
      <c r="D451" s="352"/>
      <c r="E451" s="353"/>
      <c r="F451" s="353"/>
      <c r="G451" s="317"/>
      <c r="H451" s="354"/>
      <c r="I451" s="355"/>
      <c r="J451" s="356"/>
      <c r="K451" s="357"/>
      <c r="L451" s="321"/>
      <c r="M451" s="355"/>
      <c r="N451" s="352"/>
      <c r="O451" s="352"/>
      <c r="P451" s="352"/>
      <c r="Q451" s="352"/>
      <c r="R451" s="352"/>
      <c r="S451" s="352"/>
      <c r="T451" s="352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</row>
    <row r="452" ht="15.75" customHeight="1">
      <c r="A452" s="352"/>
      <c r="B452" s="353"/>
      <c r="C452" s="352"/>
      <c r="D452" s="352"/>
      <c r="E452" s="353"/>
      <c r="F452" s="353"/>
      <c r="G452" s="317"/>
      <c r="H452" s="354"/>
      <c r="I452" s="355"/>
      <c r="J452" s="356"/>
      <c r="K452" s="357"/>
      <c r="L452" s="321"/>
      <c r="M452" s="355"/>
      <c r="N452" s="352"/>
      <c r="O452" s="352"/>
      <c r="P452" s="352"/>
      <c r="Q452" s="352"/>
      <c r="R452" s="352"/>
      <c r="S452" s="352"/>
      <c r="T452" s="352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</row>
    <row r="453" ht="15.75" customHeight="1">
      <c r="A453" s="352"/>
      <c r="B453" s="353"/>
      <c r="C453" s="352"/>
      <c r="D453" s="352"/>
      <c r="E453" s="353"/>
      <c r="F453" s="353"/>
      <c r="G453" s="317"/>
      <c r="H453" s="354"/>
      <c r="I453" s="355"/>
      <c r="J453" s="356"/>
      <c r="K453" s="357"/>
      <c r="L453" s="321"/>
      <c r="M453" s="355"/>
      <c r="N453" s="352"/>
      <c r="O453" s="352"/>
      <c r="P453" s="352"/>
      <c r="Q453" s="352"/>
      <c r="R453" s="352"/>
      <c r="S453" s="352"/>
      <c r="T453" s="352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</row>
    <row r="454" ht="15.75" customHeight="1">
      <c r="A454" s="352"/>
      <c r="B454" s="353"/>
      <c r="C454" s="352"/>
      <c r="D454" s="352"/>
      <c r="E454" s="353"/>
      <c r="F454" s="353"/>
      <c r="G454" s="317"/>
      <c r="H454" s="354"/>
      <c r="I454" s="355"/>
      <c r="J454" s="356"/>
      <c r="K454" s="357"/>
      <c r="L454" s="321"/>
      <c r="M454" s="355"/>
      <c r="N454" s="352"/>
      <c r="O454" s="352"/>
      <c r="P454" s="352"/>
      <c r="Q454" s="352"/>
      <c r="R454" s="352"/>
      <c r="S454" s="352"/>
      <c r="T454" s="352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</row>
    <row r="455" ht="15.75" customHeight="1">
      <c r="A455" s="352"/>
      <c r="B455" s="353"/>
      <c r="C455" s="352"/>
      <c r="D455" s="352"/>
      <c r="E455" s="353"/>
      <c r="F455" s="353"/>
      <c r="G455" s="317"/>
      <c r="H455" s="354"/>
      <c r="I455" s="355"/>
      <c r="J455" s="356"/>
      <c r="K455" s="357"/>
      <c r="L455" s="321"/>
      <c r="M455" s="355"/>
      <c r="N455" s="352"/>
      <c r="O455" s="352"/>
      <c r="P455" s="352"/>
      <c r="Q455" s="352"/>
      <c r="R455" s="352"/>
      <c r="S455" s="352"/>
      <c r="T455" s="352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</row>
    <row r="456" ht="15.75" customHeight="1">
      <c r="A456" s="352"/>
      <c r="B456" s="353"/>
      <c r="C456" s="352"/>
      <c r="D456" s="352"/>
      <c r="E456" s="353"/>
      <c r="F456" s="353"/>
      <c r="G456" s="317"/>
      <c r="H456" s="354"/>
      <c r="I456" s="355"/>
      <c r="J456" s="356"/>
      <c r="K456" s="357"/>
      <c r="L456" s="321"/>
      <c r="M456" s="355"/>
      <c r="N456" s="352"/>
      <c r="O456" s="352"/>
      <c r="P456" s="352"/>
      <c r="Q456" s="352"/>
      <c r="R456" s="352"/>
      <c r="S456" s="352"/>
      <c r="T456" s="352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</row>
    <row r="457" ht="15.75" customHeight="1">
      <c r="A457" s="352"/>
      <c r="B457" s="353"/>
      <c r="C457" s="352"/>
      <c r="D457" s="352"/>
      <c r="E457" s="353"/>
      <c r="F457" s="353"/>
      <c r="G457" s="317"/>
      <c r="H457" s="354"/>
      <c r="I457" s="355"/>
      <c r="J457" s="356"/>
      <c r="K457" s="357"/>
      <c r="L457" s="321"/>
      <c r="M457" s="355"/>
      <c r="N457" s="352"/>
      <c r="O457" s="352"/>
      <c r="P457" s="352"/>
      <c r="Q457" s="352"/>
      <c r="R457" s="352"/>
      <c r="S457" s="352"/>
      <c r="T457" s="352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</row>
    <row r="458" ht="15.75" customHeight="1">
      <c r="A458" s="352"/>
      <c r="B458" s="353"/>
      <c r="C458" s="352"/>
      <c r="D458" s="352"/>
      <c r="E458" s="353"/>
      <c r="F458" s="353"/>
      <c r="G458" s="317"/>
      <c r="H458" s="354"/>
      <c r="I458" s="355"/>
      <c r="J458" s="356"/>
      <c r="K458" s="357"/>
      <c r="L458" s="321"/>
      <c r="M458" s="355"/>
      <c r="N458" s="352"/>
      <c r="O458" s="352"/>
      <c r="P458" s="352"/>
      <c r="Q458" s="352"/>
      <c r="R458" s="352"/>
      <c r="S458" s="352"/>
      <c r="T458" s="352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</row>
    <row r="459" ht="15.75" customHeight="1">
      <c r="A459" s="352"/>
      <c r="B459" s="353"/>
      <c r="C459" s="352"/>
      <c r="D459" s="352"/>
      <c r="E459" s="353"/>
      <c r="F459" s="353"/>
      <c r="G459" s="317"/>
      <c r="H459" s="354"/>
      <c r="I459" s="355"/>
      <c r="J459" s="356"/>
      <c r="K459" s="357"/>
      <c r="L459" s="321"/>
      <c r="M459" s="355"/>
      <c r="N459" s="352"/>
      <c r="O459" s="352"/>
      <c r="P459" s="352"/>
      <c r="Q459" s="352"/>
      <c r="R459" s="352"/>
      <c r="S459" s="352"/>
      <c r="T459" s="352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</row>
    <row r="460" ht="15.75" customHeight="1">
      <c r="A460" s="352"/>
      <c r="B460" s="353"/>
      <c r="C460" s="352"/>
      <c r="D460" s="352"/>
      <c r="E460" s="353"/>
      <c r="F460" s="353"/>
      <c r="G460" s="317"/>
      <c r="H460" s="354"/>
      <c r="I460" s="355"/>
      <c r="J460" s="356"/>
      <c r="K460" s="357"/>
      <c r="L460" s="321"/>
      <c r="M460" s="355"/>
      <c r="N460" s="352"/>
      <c r="O460" s="352"/>
      <c r="P460" s="352"/>
      <c r="Q460" s="352"/>
      <c r="R460" s="352"/>
      <c r="S460" s="352"/>
      <c r="T460" s="352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</row>
    <row r="461" ht="15.75" customHeight="1">
      <c r="A461" s="352"/>
      <c r="B461" s="353"/>
      <c r="C461" s="352"/>
      <c r="D461" s="352"/>
      <c r="E461" s="353"/>
      <c r="F461" s="353"/>
      <c r="G461" s="317"/>
      <c r="H461" s="354"/>
      <c r="I461" s="355"/>
      <c r="J461" s="356"/>
      <c r="K461" s="357"/>
      <c r="L461" s="321"/>
      <c r="M461" s="355"/>
      <c r="N461" s="352"/>
      <c r="O461" s="352"/>
      <c r="P461" s="352"/>
      <c r="Q461" s="352"/>
      <c r="R461" s="352"/>
      <c r="S461" s="352"/>
      <c r="T461" s="352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</row>
    <row r="462" ht="15.75" customHeight="1">
      <c r="A462" s="352"/>
      <c r="B462" s="353"/>
      <c r="C462" s="352"/>
      <c r="D462" s="352"/>
      <c r="E462" s="353"/>
      <c r="F462" s="353"/>
      <c r="G462" s="317"/>
      <c r="H462" s="354"/>
      <c r="I462" s="355"/>
      <c r="J462" s="356"/>
      <c r="K462" s="357"/>
      <c r="L462" s="321"/>
      <c r="M462" s="355"/>
      <c r="N462" s="352"/>
      <c r="O462" s="352"/>
      <c r="P462" s="352"/>
      <c r="Q462" s="352"/>
      <c r="R462" s="352"/>
      <c r="S462" s="352"/>
      <c r="T462" s="352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</row>
    <row r="463" ht="15.75" customHeight="1">
      <c r="A463" s="352"/>
      <c r="B463" s="353"/>
      <c r="C463" s="352"/>
      <c r="D463" s="352"/>
      <c r="E463" s="353"/>
      <c r="F463" s="353"/>
      <c r="G463" s="317"/>
      <c r="H463" s="354"/>
      <c r="I463" s="355"/>
      <c r="J463" s="356"/>
      <c r="K463" s="357"/>
      <c r="L463" s="321"/>
      <c r="M463" s="355"/>
      <c r="N463" s="352"/>
      <c r="O463" s="352"/>
      <c r="P463" s="352"/>
      <c r="Q463" s="352"/>
      <c r="R463" s="352"/>
      <c r="S463" s="352"/>
      <c r="T463" s="352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</row>
    <row r="464" ht="15.75" customHeight="1">
      <c r="A464" s="352"/>
      <c r="B464" s="353"/>
      <c r="C464" s="352"/>
      <c r="D464" s="352"/>
      <c r="E464" s="353"/>
      <c r="F464" s="353"/>
      <c r="G464" s="317"/>
      <c r="H464" s="354"/>
      <c r="I464" s="355"/>
      <c r="J464" s="356"/>
      <c r="K464" s="357"/>
      <c r="L464" s="321"/>
      <c r="M464" s="355"/>
      <c r="N464" s="352"/>
      <c r="O464" s="352"/>
      <c r="P464" s="352"/>
      <c r="Q464" s="352"/>
      <c r="R464" s="352"/>
      <c r="S464" s="352"/>
      <c r="T464" s="352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</row>
    <row r="465" ht="15.75" customHeight="1">
      <c r="A465" s="352"/>
      <c r="B465" s="353"/>
      <c r="C465" s="352"/>
      <c r="D465" s="352"/>
      <c r="E465" s="353"/>
      <c r="F465" s="353"/>
      <c r="G465" s="317"/>
      <c r="H465" s="354"/>
      <c r="I465" s="355"/>
      <c r="J465" s="356"/>
      <c r="K465" s="357"/>
      <c r="L465" s="321"/>
      <c r="M465" s="355"/>
      <c r="N465" s="352"/>
      <c r="O465" s="352"/>
      <c r="P465" s="352"/>
      <c r="Q465" s="352"/>
      <c r="R465" s="352"/>
      <c r="S465" s="352"/>
      <c r="T465" s="352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</row>
    <row r="466" ht="15.75" customHeight="1">
      <c r="A466" s="352"/>
      <c r="B466" s="353"/>
      <c r="C466" s="352"/>
      <c r="D466" s="352"/>
      <c r="E466" s="353"/>
      <c r="F466" s="353"/>
      <c r="G466" s="317"/>
      <c r="H466" s="354"/>
      <c r="I466" s="355"/>
      <c r="J466" s="356"/>
      <c r="K466" s="357"/>
      <c r="L466" s="321"/>
      <c r="M466" s="355"/>
      <c r="N466" s="352"/>
      <c r="O466" s="352"/>
      <c r="P466" s="352"/>
      <c r="Q466" s="352"/>
      <c r="R466" s="352"/>
      <c r="S466" s="352"/>
      <c r="T466" s="352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</row>
    <row r="467" ht="15.75" customHeight="1">
      <c r="A467" s="352"/>
      <c r="B467" s="353"/>
      <c r="C467" s="352"/>
      <c r="D467" s="352"/>
      <c r="E467" s="353"/>
      <c r="F467" s="353"/>
      <c r="G467" s="317"/>
      <c r="H467" s="354"/>
      <c r="I467" s="355"/>
      <c r="J467" s="356"/>
      <c r="K467" s="357"/>
      <c r="L467" s="321"/>
      <c r="M467" s="355"/>
      <c r="N467" s="352"/>
      <c r="O467" s="352"/>
      <c r="P467" s="352"/>
      <c r="Q467" s="352"/>
      <c r="R467" s="352"/>
      <c r="S467" s="352"/>
      <c r="T467" s="352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</row>
    <row r="468" ht="15.75" customHeight="1">
      <c r="A468" s="352"/>
      <c r="B468" s="353"/>
      <c r="C468" s="352"/>
      <c r="D468" s="352"/>
      <c r="E468" s="353"/>
      <c r="F468" s="353"/>
      <c r="G468" s="317"/>
      <c r="H468" s="354"/>
      <c r="I468" s="355"/>
      <c r="J468" s="356"/>
      <c r="K468" s="357"/>
      <c r="L468" s="321"/>
      <c r="M468" s="355"/>
      <c r="N468" s="352"/>
      <c r="O468" s="352"/>
      <c r="P468" s="352"/>
      <c r="Q468" s="352"/>
      <c r="R468" s="352"/>
      <c r="S468" s="352"/>
      <c r="T468" s="352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</row>
    <row r="469" ht="15.75" customHeight="1">
      <c r="A469" s="352"/>
      <c r="B469" s="353"/>
      <c r="C469" s="352"/>
      <c r="D469" s="352"/>
      <c r="E469" s="353"/>
      <c r="F469" s="353"/>
      <c r="G469" s="317"/>
      <c r="H469" s="354"/>
      <c r="I469" s="355"/>
      <c r="J469" s="356"/>
      <c r="K469" s="357"/>
      <c r="L469" s="321"/>
      <c r="M469" s="355"/>
      <c r="N469" s="352"/>
      <c r="O469" s="352"/>
      <c r="P469" s="352"/>
      <c r="Q469" s="352"/>
      <c r="R469" s="352"/>
      <c r="S469" s="352"/>
      <c r="T469" s="352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</row>
    <row r="470" ht="15.75" customHeight="1">
      <c r="A470" s="352"/>
      <c r="B470" s="353"/>
      <c r="C470" s="352"/>
      <c r="D470" s="352"/>
      <c r="E470" s="353"/>
      <c r="F470" s="353"/>
      <c r="G470" s="317"/>
      <c r="H470" s="354"/>
      <c r="I470" s="355"/>
      <c r="J470" s="356"/>
      <c r="K470" s="357"/>
      <c r="L470" s="321"/>
      <c r="M470" s="355"/>
      <c r="N470" s="352"/>
      <c r="O470" s="352"/>
      <c r="P470" s="352"/>
      <c r="Q470" s="352"/>
      <c r="R470" s="352"/>
      <c r="S470" s="352"/>
      <c r="T470" s="352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</row>
    <row r="471" ht="15.75" customHeight="1">
      <c r="A471" s="352"/>
      <c r="B471" s="353"/>
      <c r="C471" s="352"/>
      <c r="D471" s="352"/>
      <c r="E471" s="353"/>
      <c r="F471" s="353"/>
      <c r="G471" s="317"/>
      <c r="H471" s="354"/>
      <c r="I471" s="355"/>
      <c r="J471" s="356"/>
      <c r="K471" s="357"/>
      <c r="L471" s="321"/>
      <c r="M471" s="355"/>
      <c r="N471" s="352"/>
      <c r="O471" s="352"/>
      <c r="P471" s="352"/>
      <c r="Q471" s="352"/>
      <c r="R471" s="352"/>
      <c r="S471" s="352"/>
      <c r="T471" s="352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</row>
    <row r="472" ht="15.75" customHeight="1">
      <c r="A472" s="352"/>
      <c r="B472" s="353"/>
      <c r="C472" s="352"/>
      <c r="D472" s="352"/>
      <c r="E472" s="353"/>
      <c r="F472" s="353"/>
      <c r="G472" s="317"/>
      <c r="H472" s="354"/>
      <c r="I472" s="355"/>
      <c r="J472" s="356"/>
      <c r="K472" s="357"/>
      <c r="L472" s="321"/>
      <c r="M472" s="355"/>
      <c r="N472" s="352"/>
      <c r="O472" s="352"/>
      <c r="P472" s="352"/>
      <c r="Q472" s="352"/>
      <c r="R472" s="352"/>
      <c r="S472" s="352"/>
      <c r="T472" s="352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</row>
    <row r="473" ht="15.75" customHeight="1">
      <c r="A473" s="352"/>
      <c r="B473" s="353"/>
      <c r="C473" s="352"/>
      <c r="D473" s="352"/>
      <c r="E473" s="353"/>
      <c r="F473" s="353"/>
      <c r="G473" s="317"/>
      <c r="H473" s="354"/>
      <c r="I473" s="355"/>
      <c r="J473" s="356"/>
      <c r="K473" s="357"/>
      <c r="L473" s="321"/>
      <c r="M473" s="355"/>
      <c r="N473" s="352"/>
      <c r="O473" s="352"/>
      <c r="P473" s="352"/>
      <c r="Q473" s="352"/>
      <c r="R473" s="352"/>
      <c r="S473" s="352"/>
      <c r="T473" s="352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</row>
    <row r="474" ht="15.75" customHeight="1">
      <c r="A474" s="352"/>
      <c r="B474" s="353"/>
      <c r="C474" s="352"/>
      <c r="D474" s="352"/>
      <c r="E474" s="353"/>
      <c r="F474" s="353"/>
      <c r="G474" s="317"/>
      <c r="H474" s="354"/>
      <c r="I474" s="355"/>
      <c r="J474" s="356"/>
      <c r="K474" s="357"/>
      <c r="L474" s="321"/>
      <c r="M474" s="355"/>
      <c r="N474" s="352"/>
      <c r="O474" s="352"/>
      <c r="P474" s="352"/>
      <c r="Q474" s="352"/>
      <c r="R474" s="352"/>
      <c r="S474" s="352"/>
      <c r="T474" s="352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</row>
    <row r="475" ht="15.75" customHeight="1">
      <c r="A475" s="352"/>
      <c r="B475" s="353"/>
      <c r="C475" s="352"/>
      <c r="D475" s="352"/>
      <c r="E475" s="353"/>
      <c r="F475" s="353"/>
      <c r="G475" s="317"/>
      <c r="H475" s="354"/>
      <c r="I475" s="355"/>
      <c r="J475" s="356"/>
      <c r="K475" s="357"/>
      <c r="L475" s="321"/>
      <c r="M475" s="355"/>
      <c r="N475" s="352"/>
      <c r="O475" s="352"/>
      <c r="P475" s="352"/>
      <c r="Q475" s="352"/>
      <c r="R475" s="352"/>
      <c r="S475" s="352"/>
      <c r="T475" s="352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</row>
    <row r="476" ht="15.75" customHeight="1">
      <c r="A476" s="352"/>
      <c r="B476" s="353"/>
      <c r="C476" s="352"/>
      <c r="D476" s="352"/>
      <c r="E476" s="353"/>
      <c r="F476" s="353"/>
      <c r="G476" s="317"/>
      <c r="H476" s="354"/>
      <c r="I476" s="355"/>
      <c r="J476" s="356"/>
      <c r="K476" s="357"/>
      <c r="L476" s="321"/>
      <c r="M476" s="355"/>
      <c r="N476" s="352"/>
      <c r="O476" s="352"/>
      <c r="P476" s="352"/>
      <c r="Q476" s="352"/>
      <c r="R476" s="352"/>
      <c r="S476" s="352"/>
      <c r="T476" s="352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</row>
    <row r="477" ht="15.75" customHeight="1">
      <c r="A477" s="352"/>
      <c r="B477" s="353"/>
      <c r="C477" s="352"/>
      <c r="D477" s="352"/>
      <c r="E477" s="353"/>
      <c r="F477" s="353"/>
      <c r="G477" s="317"/>
      <c r="H477" s="354"/>
      <c r="I477" s="355"/>
      <c r="J477" s="356"/>
      <c r="K477" s="357"/>
      <c r="L477" s="321"/>
      <c r="M477" s="355"/>
      <c r="N477" s="352"/>
      <c r="O477" s="352"/>
      <c r="P477" s="352"/>
      <c r="Q477" s="352"/>
      <c r="R477" s="352"/>
      <c r="S477" s="352"/>
      <c r="T477" s="352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</row>
    <row r="478" ht="15.75" customHeight="1">
      <c r="A478" s="352"/>
      <c r="B478" s="353"/>
      <c r="C478" s="352"/>
      <c r="D478" s="352"/>
      <c r="E478" s="353"/>
      <c r="F478" s="353"/>
      <c r="G478" s="317"/>
      <c r="H478" s="354"/>
      <c r="I478" s="355"/>
      <c r="J478" s="356"/>
      <c r="K478" s="357"/>
      <c r="L478" s="321"/>
      <c r="M478" s="355"/>
      <c r="N478" s="352"/>
      <c r="O478" s="352"/>
      <c r="P478" s="352"/>
      <c r="Q478" s="352"/>
      <c r="R478" s="352"/>
      <c r="S478" s="352"/>
      <c r="T478" s="352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</row>
    <row r="479" ht="15.75" customHeight="1">
      <c r="A479" s="352"/>
      <c r="B479" s="353"/>
      <c r="C479" s="352"/>
      <c r="D479" s="352"/>
      <c r="E479" s="353"/>
      <c r="F479" s="353"/>
      <c r="G479" s="317"/>
      <c r="H479" s="354"/>
      <c r="I479" s="355"/>
      <c r="J479" s="356"/>
      <c r="K479" s="357"/>
      <c r="L479" s="321"/>
      <c r="M479" s="355"/>
      <c r="N479" s="352"/>
      <c r="O479" s="352"/>
      <c r="P479" s="352"/>
      <c r="Q479" s="352"/>
      <c r="R479" s="352"/>
      <c r="S479" s="352"/>
      <c r="T479" s="352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</row>
    <row r="480" ht="15.75" customHeight="1">
      <c r="A480" s="352"/>
      <c r="B480" s="353"/>
      <c r="C480" s="352"/>
      <c r="D480" s="352"/>
      <c r="E480" s="353"/>
      <c r="F480" s="353"/>
      <c r="G480" s="317"/>
      <c r="H480" s="354"/>
      <c r="I480" s="355"/>
      <c r="J480" s="356"/>
      <c r="K480" s="357"/>
      <c r="L480" s="321"/>
      <c r="M480" s="355"/>
      <c r="N480" s="352"/>
      <c r="O480" s="352"/>
      <c r="P480" s="352"/>
      <c r="Q480" s="352"/>
      <c r="R480" s="352"/>
      <c r="S480" s="352"/>
      <c r="T480" s="352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</row>
    <row r="481" ht="15.75" customHeight="1">
      <c r="A481" s="352"/>
      <c r="B481" s="353"/>
      <c r="C481" s="352"/>
      <c r="D481" s="352"/>
      <c r="E481" s="353"/>
      <c r="F481" s="353"/>
      <c r="G481" s="317"/>
      <c r="H481" s="354"/>
      <c r="I481" s="355"/>
      <c r="J481" s="356"/>
      <c r="K481" s="357"/>
      <c r="L481" s="321"/>
      <c r="M481" s="355"/>
      <c r="N481" s="352"/>
      <c r="O481" s="352"/>
      <c r="P481" s="352"/>
      <c r="Q481" s="352"/>
      <c r="R481" s="352"/>
      <c r="S481" s="352"/>
      <c r="T481" s="352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</row>
    <row r="482" ht="15.75" customHeight="1">
      <c r="A482" s="352"/>
      <c r="B482" s="353"/>
      <c r="C482" s="352"/>
      <c r="D482" s="352"/>
      <c r="E482" s="353"/>
      <c r="F482" s="353"/>
      <c r="G482" s="317"/>
      <c r="H482" s="354"/>
      <c r="I482" s="355"/>
      <c r="J482" s="356"/>
      <c r="K482" s="357"/>
      <c r="L482" s="321"/>
      <c r="M482" s="355"/>
      <c r="N482" s="352"/>
      <c r="O482" s="352"/>
      <c r="P482" s="352"/>
      <c r="Q482" s="352"/>
      <c r="R482" s="352"/>
      <c r="S482" s="352"/>
      <c r="T482" s="352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</row>
    <row r="483" ht="15.75" customHeight="1">
      <c r="A483" s="352"/>
      <c r="B483" s="353"/>
      <c r="C483" s="352"/>
      <c r="D483" s="352"/>
      <c r="E483" s="353"/>
      <c r="F483" s="353"/>
      <c r="G483" s="317"/>
      <c r="H483" s="354"/>
      <c r="I483" s="355"/>
      <c r="J483" s="356"/>
      <c r="K483" s="357"/>
      <c r="L483" s="321"/>
      <c r="M483" s="355"/>
      <c r="N483" s="352"/>
      <c r="O483" s="352"/>
      <c r="P483" s="352"/>
      <c r="Q483" s="352"/>
      <c r="R483" s="352"/>
      <c r="S483" s="352"/>
      <c r="T483" s="352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</row>
    <row r="484" ht="15.75" customHeight="1">
      <c r="A484" s="352"/>
      <c r="B484" s="353"/>
      <c r="C484" s="352"/>
      <c r="D484" s="352"/>
      <c r="E484" s="353"/>
      <c r="F484" s="353"/>
      <c r="G484" s="317"/>
      <c r="H484" s="354"/>
      <c r="I484" s="355"/>
      <c r="J484" s="356"/>
      <c r="K484" s="357"/>
      <c r="L484" s="321"/>
      <c r="M484" s="355"/>
      <c r="N484" s="352"/>
      <c r="O484" s="352"/>
      <c r="P484" s="352"/>
      <c r="Q484" s="352"/>
      <c r="R484" s="352"/>
      <c r="S484" s="352"/>
      <c r="T484" s="352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</row>
    <row r="485" ht="15.75" customHeight="1">
      <c r="A485" s="352"/>
      <c r="B485" s="353"/>
      <c r="C485" s="352"/>
      <c r="D485" s="352"/>
      <c r="E485" s="353"/>
      <c r="F485" s="353"/>
      <c r="G485" s="317"/>
      <c r="H485" s="354"/>
      <c r="I485" s="355"/>
      <c r="J485" s="356"/>
      <c r="K485" s="357"/>
      <c r="L485" s="321"/>
      <c r="M485" s="355"/>
      <c r="N485" s="352"/>
      <c r="O485" s="352"/>
      <c r="P485" s="352"/>
      <c r="Q485" s="352"/>
      <c r="R485" s="352"/>
      <c r="S485" s="352"/>
      <c r="T485" s="352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</row>
    <row r="486" ht="15.75" customHeight="1">
      <c r="A486" s="352"/>
      <c r="B486" s="353"/>
      <c r="C486" s="352"/>
      <c r="D486" s="352"/>
      <c r="E486" s="353"/>
      <c r="F486" s="353"/>
      <c r="G486" s="317"/>
      <c r="H486" s="354"/>
      <c r="I486" s="355"/>
      <c r="J486" s="356"/>
      <c r="K486" s="357"/>
      <c r="L486" s="321"/>
      <c r="M486" s="355"/>
      <c r="N486" s="352"/>
      <c r="O486" s="352"/>
      <c r="P486" s="352"/>
      <c r="Q486" s="352"/>
      <c r="R486" s="352"/>
      <c r="S486" s="352"/>
      <c r="T486" s="352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</row>
    <row r="487" ht="15.75" customHeight="1">
      <c r="A487" s="317"/>
      <c r="B487" s="318"/>
      <c r="C487" s="317"/>
      <c r="D487" s="317"/>
      <c r="E487" s="318"/>
      <c r="F487" s="318"/>
      <c r="G487" s="317"/>
      <c r="H487" s="327"/>
      <c r="I487" s="321"/>
      <c r="J487" s="328"/>
      <c r="K487" s="328"/>
      <c r="L487" s="317"/>
      <c r="M487" s="317"/>
      <c r="N487" s="317"/>
      <c r="O487" s="317"/>
      <c r="P487" s="317"/>
      <c r="Q487" s="317"/>
      <c r="R487" s="317"/>
      <c r="S487" s="317"/>
      <c r="T487" s="317"/>
    </row>
    <row r="488" ht="15.75" customHeight="1">
      <c r="A488" s="317"/>
      <c r="B488" s="318"/>
      <c r="C488" s="317"/>
      <c r="D488" s="317"/>
      <c r="E488" s="318"/>
      <c r="F488" s="318"/>
      <c r="G488" s="317"/>
      <c r="H488" s="327"/>
      <c r="I488" s="321"/>
      <c r="J488" s="328"/>
      <c r="K488" s="328"/>
      <c r="L488" s="317"/>
      <c r="M488" s="317"/>
      <c r="N488" s="317"/>
      <c r="O488" s="317"/>
      <c r="P488" s="317"/>
      <c r="Q488" s="317"/>
      <c r="R488" s="317"/>
      <c r="S488" s="317"/>
      <c r="T488" s="317"/>
    </row>
    <row r="489" ht="15.75" customHeight="1">
      <c r="A489" s="317"/>
      <c r="B489" s="318"/>
      <c r="C489" s="317"/>
      <c r="D489" s="317"/>
      <c r="E489" s="318"/>
      <c r="F489" s="318"/>
      <c r="G489" s="317"/>
      <c r="H489" s="327"/>
      <c r="I489" s="321"/>
      <c r="J489" s="328"/>
      <c r="K489" s="328"/>
      <c r="L489" s="317"/>
      <c r="M489" s="317"/>
      <c r="N489" s="317"/>
      <c r="O489" s="317"/>
      <c r="P489" s="317"/>
      <c r="Q489" s="317"/>
      <c r="R489" s="317"/>
      <c r="S489" s="317"/>
      <c r="T489" s="317"/>
    </row>
    <row r="490" ht="15.75" customHeight="1">
      <c r="A490" s="317"/>
      <c r="B490" s="318"/>
      <c r="C490" s="317"/>
      <c r="D490" s="317"/>
      <c r="E490" s="318"/>
      <c r="F490" s="318"/>
      <c r="G490" s="317"/>
      <c r="H490" s="327"/>
      <c r="I490" s="321"/>
      <c r="J490" s="328"/>
      <c r="K490" s="328"/>
      <c r="L490" s="317"/>
      <c r="M490" s="317"/>
      <c r="N490" s="317"/>
      <c r="O490" s="317"/>
      <c r="P490" s="317"/>
      <c r="Q490" s="317"/>
      <c r="R490" s="317"/>
      <c r="S490" s="317"/>
      <c r="T490" s="317"/>
    </row>
    <row r="491" ht="15.75" customHeight="1">
      <c r="A491" s="317"/>
      <c r="B491" s="318"/>
      <c r="C491" s="317"/>
      <c r="D491" s="317"/>
      <c r="E491" s="318"/>
      <c r="F491" s="318"/>
      <c r="G491" s="317"/>
      <c r="H491" s="327"/>
      <c r="I491" s="321"/>
      <c r="J491" s="328"/>
      <c r="K491" s="328"/>
      <c r="L491" s="317"/>
      <c r="M491" s="317"/>
      <c r="N491" s="317"/>
      <c r="O491" s="317"/>
      <c r="P491" s="317"/>
      <c r="Q491" s="317"/>
      <c r="R491" s="317"/>
      <c r="S491" s="317"/>
      <c r="T491" s="317"/>
    </row>
    <row r="492" ht="15.75" customHeight="1">
      <c r="A492" s="317"/>
      <c r="B492" s="318"/>
      <c r="C492" s="317"/>
      <c r="D492" s="317"/>
      <c r="E492" s="318"/>
      <c r="F492" s="318"/>
      <c r="G492" s="317"/>
      <c r="H492" s="327"/>
      <c r="I492" s="321"/>
      <c r="J492" s="328"/>
      <c r="K492" s="328"/>
      <c r="L492" s="317"/>
      <c r="M492" s="317"/>
      <c r="N492" s="317"/>
      <c r="O492" s="317"/>
      <c r="P492" s="317"/>
      <c r="Q492" s="317"/>
      <c r="R492" s="317"/>
      <c r="S492" s="317"/>
      <c r="T492" s="317"/>
    </row>
    <row r="493" ht="15.75" customHeight="1">
      <c r="A493" s="317"/>
      <c r="B493" s="318"/>
      <c r="C493" s="317"/>
      <c r="D493" s="317"/>
      <c r="E493" s="318"/>
      <c r="F493" s="318"/>
      <c r="G493" s="317"/>
      <c r="H493" s="327"/>
      <c r="I493" s="321"/>
      <c r="J493" s="328"/>
      <c r="K493" s="328"/>
      <c r="L493" s="317"/>
      <c r="M493" s="317"/>
      <c r="N493" s="317"/>
      <c r="O493" s="317"/>
      <c r="P493" s="317"/>
      <c r="Q493" s="317"/>
      <c r="R493" s="317"/>
      <c r="S493" s="317"/>
      <c r="T493" s="317"/>
    </row>
    <row r="494" ht="15.75" customHeight="1">
      <c r="A494" s="317"/>
      <c r="B494" s="318"/>
      <c r="C494" s="317"/>
      <c r="D494" s="317"/>
      <c r="E494" s="318"/>
      <c r="F494" s="318"/>
      <c r="G494" s="317"/>
      <c r="H494" s="327"/>
      <c r="I494" s="321"/>
      <c r="J494" s="328"/>
      <c r="K494" s="328"/>
      <c r="L494" s="317"/>
      <c r="M494" s="317"/>
      <c r="N494" s="317"/>
      <c r="O494" s="317"/>
      <c r="P494" s="317"/>
      <c r="Q494" s="317"/>
      <c r="R494" s="317"/>
      <c r="S494" s="317"/>
      <c r="T494" s="317"/>
    </row>
    <row r="495" ht="15.75" customHeight="1">
      <c r="A495" s="317"/>
      <c r="B495" s="318"/>
      <c r="C495" s="317"/>
      <c r="D495" s="317"/>
      <c r="E495" s="318"/>
      <c r="F495" s="318"/>
      <c r="G495" s="317"/>
      <c r="H495" s="327"/>
      <c r="I495" s="321"/>
      <c r="J495" s="328"/>
      <c r="K495" s="328"/>
      <c r="L495" s="317"/>
      <c r="M495" s="317"/>
      <c r="N495" s="317"/>
      <c r="O495" s="317"/>
      <c r="P495" s="317"/>
      <c r="Q495" s="317"/>
      <c r="R495" s="317"/>
      <c r="S495" s="317"/>
      <c r="T495" s="317"/>
    </row>
    <row r="496" ht="15.75" customHeight="1">
      <c r="A496" s="317"/>
      <c r="B496" s="318"/>
      <c r="C496" s="317"/>
      <c r="D496" s="317"/>
      <c r="E496" s="318"/>
      <c r="F496" s="318"/>
      <c r="G496" s="317"/>
      <c r="H496" s="327"/>
      <c r="I496" s="321"/>
      <c r="J496" s="328"/>
      <c r="K496" s="328"/>
      <c r="L496" s="317"/>
      <c r="M496" s="317"/>
      <c r="N496" s="317"/>
      <c r="O496" s="317"/>
      <c r="P496" s="317"/>
      <c r="Q496" s="317"/>
      <c r="R496" s="317"/>
      <c r="S496" s="317"/>
      <c r="T496" s="317"/>
    </row>
    <row r="497" ht="15.75" customHeight="1">
      <c r="A497" s="317"/>
      <c r="B497" s="318"/>
      <c r="C497" s="317"/>
      <c r="D497" s="317"/>
      <c r="E497" s="318"/>
      <c r="F497" s="318"/>
      <c r="G497" s="317"/>
      <c r="H497" s="327"/>
      <c r="I497" s="321"/>
      <c r="J497" s="328"/>
      <c r="K497" s="328"/>
      <c r="L497" s="317"/>
      <c r="M497" s="317"/>
      <c r="N497" s="317"/>
      <c r="O497" s="317"/>
      <c r="P497" s="317"/>
      <c r="Q497" s="317"/>
      <c r="R497" s="317"/>
      <c r="S497" s="317"/>
      <c r="T497" s="317"/>
    </row>
    <row r="498" ht="15.75" customHeight="1">
      <c r="A498" s="317"/>
      <c r="B498" s="318"/>
      <c r="C498" s="317"/>
      <c r="D498" s="317"/>
      <c r="E498" s="318"/>
      <c r="F498" s="318"/>
      <c r="G498" s="317"/>
      <c r="H498" s="327"/>
      <c r="I498" s="321"/>
      <c r="J498" s="328"/>
      <c r="K498" s="328"/>
      <c r="L498" s="317"/>
      <c r="M498" s="317"/>
      <c r="N498" s="317"/>
      <c r="O498" s="317"/>
      <c r="P498" s="317"/>
      <c r="Q498" s="317"/>
      <c r="R498" s="317"/>
      <c r="S498" s="317"/>
      <c r="T498" s="317"/>
    </row>
    <row r="499" ht="15.75" customHeight="1">
      <c r="A499" s="317"/>
      <c r="B499" s="318"/>
      <c r="C499" s="317"/>
      <c r="D499" s="317"/>
      <c r="E499" s="318"/>
      <c r="F499" s="318"/>
      <c r="G499" s="317"/>
      <c r="H499" s="327"/>
      <c r="I499" s="321"/>
      <c r="J499" s="328"/>
      <c r="K499" s="328"/>
      <c r="L499" s="317"/>
      <c r="M499" s="317"/>
      <c r="N499" s="317"/>
      <c r="O499" s="317"/>
      <c r="P499" s="317"/>
      <c r="Q499" s="317"/>
      <c r="R499" s="317"/>
      <c r="S499" s="317"/>
      <c r="T499" s="317"/>
    </row>
    <row r="500" ht="15.75" customHeight="1">
      <c r="A500" s="317"/>
      <c r="B500" s="318"/>
      <c r="C500" s="317"/>
      <c r="D500" s="317"/>
      <c r="E500" s="318"/>
      <c r="F500" s="318"/>
      <c r="G500" s="317"/>
      <c r="H500" s="327"/>
      <c r="I500" s="321"/>
      <c r="J500" s="328"/>
      <c r="K500" s="328"/>
      <c r="L500" s="317"/>
      <c r="M500" s="317"/>
      <c r="N500" s="317"/>
      <c r="O500" s="317"/>
      <c r="P500" s="317"/>
      <c r="Q500" s="317"/>
      <c r="R500" s="317"/>
      <c r="S500" s="317"/>
      <c r="T500" s="317"/>
    </row>
    <row r="501" ht="15.75" customHeight="1">
      <c r="A501" s="317"/>
      <c r="B501" s="318"/>
      <c r="C501" s="317"/>
      <c r="D501" s="317"/>
      <c r="E501" s="318"/>
      <c r="F501" s="318"/>
      <c r="G501" s="317"/>
      <c r="H501" s="327"/>
      <c r="I501" s="321"/>
      <c r="J501" s="328"/>
      <c r="K501" s="328"/>
      <c r="L501" s="317"/>
      <c r="M501" s="317"/>
      <c r="N501" s="317"/>
      <c r="O501" s="317"/>
      <c r="P501" s="317"/>
      <c r="Q501" s="317"/>
      <c r="R501" s="317"/>
      <c r="S501" s="317"/>
      <c r="T501" s="317"/>
    </row>
    <row r="502" ht="15.75" customHeight="1">
      <c r="A502" s="317"/>
      <c r="B502" s="318"/>
      <c r="C502" s="317"/>
      <c r="D502" s="317"/>
      <c r="E502" s="318"/>
      <c r="F502" s="318"/>
      <c r="G502" s="317"/>
      <c r="H502" s="327"/>
      <c r="I502" s="321"/>
      <c r="J502" s="328"/>
      <c r="K502" s="328"/>
      <c r="L502" s="317"/>
      <c r="M502" s="317"/>
      <c r="N502" s="317"/>
      <c r="O502" s="317"/>
      <c r="P502" s="317"/>
      <c r="Q502" s="317"/>
      <c r="R502" s="317"/>
      <c r="S502" s="317"/>
      <c r="T502" s="317"/>
    </row>
    <row r="503" ht="15.75" customHeight="1">
      <c r="A503" s="317"/>
      <c r="B503" s="318"/>
      <c r="C503" s="317"/>
      <c r="D503" s="317"/>
      <c r="E503" s="318"/>
      <c r="F503" s="318"/>
      <c r="G503" s="317"/>
      <c r="H503" s="327"/>
      <c r="I503" s="321"/>
      <c r="J503" s="328"/>
      <c r="K503" s="328"/>
      <c r="L503" s="317"/>
      <c r="M503" s="317"/>
      <c r="N503" s="317"/>
      <c r="O503" s="317"/>
      <c r="P503" s="317"/>
      <c r="Q503" s="317"/>
      <c r="R503" s="317"/>
      <c r="S503" s="317"/>
      <c r="T503" s="317"/>
    </row>
    <row r="504" ht="15.75" customHeight="1">
      <c r="A504" s="317"/>
      <c r="B504" s="318"/>
      <c r="C504" s="317"/>
      <c r="D504" s="317"/>
      <c r="E504" s="318"/>
      <c r="F504" s="318"/>
      <c r="G504" s="317"/>
      <c r="H504" s="327"/>
      <c r="I504" s="321"/>
      <c r="J504" s="328"/>
      <c r="K504" s="328"/>
      <c r="L504" s="317"/>
      <c r="M504" s="317"/>
      <c r="N504" s="317"/>
      <c r="O504" s="317"/>
      <c r="P504" s="317"/>
      <c r="Q504" s="317"/>
      <c r="R504" s="317"/>
      <c r="S504" s="317"/>
      <c r="T504" s="317"/>
    </row>
    <row r="505" ht="15.75" customHeight="1">
      <c r="A505" s="317"/>
      <c r="B505" s="318"/>
      <c r="C505" s="317"/>
      <c r="D505" s="317"/>
      <c r="E505" s="318"/>
      <c r="F505" s="318"/>
      <c r="G505" s="317"/>
      <c r="H505" s="327"/>
      <c r="I505" s="321"/>
      <c r="J505" s="328"/>
      <c r="K505" s="328"/>
      <c r="L505" s="317"/>
      <c r="M505" s="317"/>
      <c r="N505" s="317"/>
      <c r="O505" s="317"/>
      <c r="P505" s="317"/>
      <c r="Q505" s="317"/>
      <c r="R505" s="317"/>
      <c r="S505" s="317"/>
      <c r="T505" s="317"/>
    </row>
    <row r="506" ht="15.75" customHeight="1">
      <c r="A506" s="317"/>
      <c r="B506" s="318"/>
      <c r="C506" s="317"/>
      <c r="D506" s="317"/>
      <c r="E506" s="318"/>
      <c r="F506" s="318"/>
      <c r="G506" s="317"/>
      <c r="H506" s="327"/>
      <c r="I506" s="321"/>
      <c r="J506" s="328"/>
      <c r="K506" s="328"/>
      <c r="L506" s="317"/>
      <c r="M506" s="317"/>
      <c r="N506" s="317"/>
      <c r="O506" s="317"/>
      <c r="P506" s="317"/>
      <c r="Q506" s="317"/>
      <c r="R506" s="317"/>
      <c r="S506" s="317"/>
      <c r="T506" s="317"/>
    </row>
    <row r="507" ht="15.75" customHeight="1">
      <c r="A507" s="317"/>
      <c r="B507" s="318"/>
      <c r="C507" s="317"/>
      <c r="D507" s="317"/>
      <c r="E507" s="318"/>
      <c r="F507" s="318"/>
      <c r="G507" s="317"/>
      <c r="H507" s="327"/>
      <c r="I507" s="321"/>
      <c r="J507" s="328"/>
      <c r="K507" s="328"/>
      <c r="L507" s="317"/>
      <c r="M507" s="317"/>
      <c r="N507" s="317"/>
      <c r="O507" s="317"/>
      <c r="P507" s="317"/>
      <c r="Q507" s="317"/>
      <c r="R507" s="317"/>
      <c r="S507" s="317"/>
      <c r="T507" s="317"/>
    </row>
    <row r="508" ht="15.75" customHeight="1">
      <c r="A508" s="317"/>
      <c r="B508" s="318"/>
      <c r="C508" s="317"/>
      <c r="D508" s="317"/>
      <c r="E508" s="318"/>
      <c r="F508" s="318"/>
      <c r="G508" s="317"/>
      <c r="H508" s="327"/>
      <c r="I508" s="321"/>
      <c r="J508" s="328"/>
      <c r="K508" s="328"/>
      <c r="L508" s="317"/>
      <c r="M508" s="317"/>
      <c r="N508" s="317"/>
      <c r="O508" s="317"/>
      <c r="P508" s="317"/>
      <c r="Q508" s="317"/>
      <c r="R508" s="317"/>
      <c r="S508" s="317"/>
      <c r="T508" s="317"/>
    </row>
    <row r="509" ht="15.75" customHeight="1">
      <c r="A509" s="317"/>
      <c r="B509" s="318"/>
      <c r="C509" s="317"/>
      <c r="D509" s="317"/>
      <c r="E509" s="318"/>
      <c r="F509" s="318"/>
      <c r="G509" s="317"/>
      <c r="H509" s="327"/>
      <c r="I509" s="321"/>
      <c r="J509" s="328"/>
      <c r="K509" s="328"/>
      <c r="L509" s="317"/>
      <c r="M509" s="317"/>
      <c r="N509" s="317"/>
      <c r="O509" s="317"/>
      <c r="P509" s="317"/>
      <c r="Q509" s="317"/>
      <c r="R509" s="317"/>
      <c r="S509" s="317"/>
      <c r="T509" s="317"/>
    </row>
    <row r="510" ht="15.75" customHeight="1">
      <c r="A510" s="317"/>
      <c r="B510" s="318"/>
      <c r="C510" s="317"/>
      <c r="D510" s="317"/>
      <c r="E510" s="318"/>
      <c r="F510" s="318"/>
      <c r="G510" s="317"/>
      <c r="H510" s="327"/>
      <c r="I510" s="321"/>
      <c r="J510" s="328"/>
      <c r="K510" s="328"/>
      <c r="L510" s="317"/>
      <c r="M510" s="317"/>
      <c r="N510" s="317"/>
      <c r="O510" s="317"/>
      <c r="P510" s="317"/>
      <c r="Q510" s="317"/>
      <c r="R510" s="317"/>
      <c r="S510" s="317"/>
      <c r="T510" s="317"/>
    </row>
    <row r="511" ht="15.75" customHeight="1">
      <c r="A511" s="317"/>
      <c r="B511" s="318"/>
      <c r="C511" s="317"/>
      <c r="D511" s="317"/>
      <c r="E511" s="318"/>
      <c r="F511" s="318"/>
      <c r="G511" s="317"/>
      <c r="H511" s="327"/>
      <c r="I511" s="321"/>
      <c r="J511" s="328"/>
      <c r="K511" s="328"/>
      <c r="L511" s="317"/>
      <c r="M511" s="317"/>
      <c r="N511" s="317"/>
      <c r="O511" s="317"/>
      <c r="P511" s="317"/>
      <c r="Q511" s="317"/>
      <c r="R511" s="317"/>
      <c r="S511" s="317"/>
      <c r="T511" s="317"/>
    </row>
    <row r="512" ht="15.75" customHeight="1">
      <c r="A512" s="317"/>
      <c r="B512" s="318"/>
      <c r="C512" s="317"/>
      <c r="D512" s="317"/>
      <c r="E512" s="318"/>
      <c r="F512" s="318"/>
      <c r="G512" s="317"/>
      <c r="H512" s="327"/>
      <c r="I512" s="321"/>
      <c r="J512" s="328"/>
      <c r="K512" s="328"/>
      <c r="L512" s="317"/>
      <c r="M512" s="317"/>
      <c r="N512" s="317"/>
      <c r="O512" s="317"/>
      <c r="P512" s="317"/>
      <c r="Q512" s="317"/>
      <c r="R512" s="317"/>
      <c r="S512" s="317"/>
      <c r="T512" s="317"/>
    </row>
    <row r="513" ht="15.75" customHeight="1">
      <c r="A513" s="317"/>
      <c r="B513" s="318"/>
      <c r="C513" s="317"/>
      <c r="D513" s="317"/>
      <c r="E513" s="318"/>
      <c r="F513" s="318"/>
      <c r="G513" s="317"/>
      <c r="H513" s="327"/>
      <c r="I513" s="321"/>
      <c r="J513" s="328"/>
      <c r="K513" s="328"/>
      <c r="L513" s="317"/>
      <c r="M513" s="317"/>
      <c r="N513" s="317"/>
      <c r="O513" s="317"/>
      <c r="P513" s="317"/>
      <c r="Q513" s="317"/>
      <c r="R513" s="317"/>
      <c r="S513" s="317"/>
      <c r="T513" s="317"/>
    </row>
    <row r="514" ht="15.75" customHeight="1">
      <c r="A514" s="317"/>
      <c r="B514" s="318"/>
      <c r="C514" s="317"/>
      <c r="D514" s="317"/>
      <c r="E514" s="318"/>
      <c r="F514" s="318"/>
      <c r="G514" s="317"/>
      <c r="H514" s="327"/>
      <c r="I514" s="321"/>
      <c r="J514" s="328"/>
      <c r="K514" s="328"/>
      <c r="L514" s="317"/>
      <c r="M514" s="317"/>
      <c r="N514" s="317"/>
      <c r="O514" s="317"/>
      <c r="P514" s="317"/>
      <c r="Q514" s="317"/>
      <c r="R514" s="317"/>
      <c r="S514" s="317"/>
      <c r="T514" s="317"/>
    </row>
    <row r="515" ht="15.75" customHeight="1">
      <c r="A515" s="317"/>
      <c r="B515" s="318"/>
      <c r="C515" s="317"/>
      <c r="D515" s="317"/>
      <c r="E515" s="318"/>
      <c r="F515" s="318"/>
      <c r="G515" s="317"/>
      <c r="H515" s="327"/>
      <c r="I515" s="321"/>
      <c r="J515" s="328"/>
      <c r="K515" s="328"/>
      <c r="L515" s="317"/>
      <c r="M515" s="317"/>
      <c r="N515" s="317"/>
      <c r="O515" s="317"/>
      <c r="P515" s="317"/>
      <c r="Q515" s="317"/>
      <c r="R515" s="317"/>
      <c r="S515" s="317"/>
      <c r="T515" s="317"/>
    </row>
    <row r="516" ht="15.75" customHeight="1">
      <c r="A516" s="317"/>
      <c r="B516" s="318"/>
      <c r="C516" s="317"/>
      <c r="D516" s="317"/>
      <c r="E516" s="318"/>
      <c r="F516" s="318"/>
      <c r="G516" s="317"/>
      <c r="H516" s="327"/>
      <c r="I516" s="321"/>
      <c r="J516" s="328"/>
      <c r="K516" s="328"/>
      <c r="L516" s="317"/>
      <c r="M516" s="317"/>
      <c r="N516" s="317"/>
      <c r="O516" s="317"/>
      <c r="P516" s="317"/>
      <c r="Q516" s="317"/>
      <c r="R516" s="317"/>
      <c r="S516" s="317"/>
      <c r="T516" s="317"/>
    </row>
    <row r="517" ht="15.75" customHeight="1">
      <c r="A517" s="317"/>
      <c r="B517" s="318"/>
      <c r="C517" s="317"/>
      <c r="D517" s="317"/>
      <c r="E517" s="318"/>
      <c r="F517" s="318"/>
      <c r="G517" s="317"/>
      <c r="H517" s="327"/>
      <c r="I517" s="321"/>
      <c r="J517" s="328"/>
      <c r="K517" s="328"/>
      <c r="L517" s="317"/>
      <c r="M517" s="317"/>
      <c r="N517" s="317"/>
      <c r="O517" s="317"/>
      <c r="P517" s="317"/>
      <c r="Q517" s="317"/>
      <c r="R517" s="317"/>
      <c r="S517" s="317"/>
      <c r="T517" s="317"/>
    </row>
    <row r="518" ht="15.75" customHeight="1">
      <c r="A518" s="317"/>
      <c r="B518" s="318"/>
      <c r="C518" s="317"/>
      <c r="D518" s="317"/>
      <c r="E518" s="318"/>
      <c r="F518" s="318"/>
      <c r="G518" s="317"/>
      <c r="H518" s="327"/>
      <c r="I518" s="321"/>
      <c r="J518" s="328"/>
      <c r="K518" s="328"/>
      <c r="L518" s="317"/>
      <c r="M518" s="317"/>
      <c r="N518" s="317"/>
      <c r="O518" s="317"/>
      <c r="P518" s="317"/>
      <c r="Q518" s="317"/>
      <c r="R518" s="317"/>
      <c r="S518" s="317"/>
      <c r="T518" s="317"/>
    </row>
    <row r="519" ht="15.75" customHeight="1">
      <c r="A519" s="317"/>
      <c r="B519" s="318"/>
      <c r="C519" s="317"/>
      <c r="D519" s="317"/>
      <c r="E519" s="318"/>
      <c r="F519" s="318"/>
      <c r="G519" s="317"/>
      <c r="H519" s="327"/>
      <c r="I519" s="321"/>
      <c r="J519" s="328"/>
      <c r="K519" s="328"/>
      <c r="L519" s="317"/>
      <c r="M519" s="317"/>
      <c r="N519" s="317"/>
      <c r="O519" s="317"/>
      <c r="P519" s="317"/>
      <c r="Q519" s="317"/>
      <c r="R519" s="317"/>
      <c r="S519" s="317"/>
      <c r="T519" s="317"/>
    </row>
    <row r="520" ht="15.75" customHeight="1">
      <c r="A520" s="317"/>
      <c r="B520" s="318"/>
      <c r="C520" s="317"/>
      <c r="D520" s="317"/>
      <c r="E520" s="318"/>
      <c r="F520" s="318"/>
      <c r="G520" s="317"/>
      <c r="H520" s="327"/>
      <c r="I520" s="321"/>
      <c r="J520" s="328"/>
      <c r="K520" s="328"/>
      <c r="L520" s="317"/>
      <c r="M520" s="317"/>
      <c r="N520" s="317"/>
      <c r="O520" s="317"/>
      <c r="P520" s="317"/>
      <c r="Q520" s="317"/>
      <c r="R520" s="317"/>
      <c r="S520" s="317"/>
      <c r="T520" s="317"/>
    </row>
    <row r="521" ht="15.75" customHeight="1">
      <c r="A521" s="317"/>
      <c r="B521" s="318"/>
      <c r="C521" s="317"/>
      <c r="D521" s="317"/>
      <c r="E521" s="318"/>
      <c r="F521" s="318"/>
      <c r="G521" s="317"/>
      <c r="H521" s="327"/>
      <c r="I521" s="321"/>
      <c r="J521" s="328"/>
      <c r="K521" s="328"/>
      <c r="L521" s="317"/>
      <c r="M521" s="317"/>
      <c r="N521" s="317"/>
      <c r="O521" s="317"/>
      <c r="P521" s="317"/>
      <c r="Q521" s="317"/>
      <c r="R521" s="317"/>
      <c r="S521" s="317"/>
      <c r="T521" s="317"/>
    </row>
    <row r="522" ht="15.75" customHeight="1">
      <c r="A522" s="317"/>
      <c r="B522" s="318"/>
      <c r="C522" s="317"/>
      <c r="D522" s="317"/>
      <c r="E522" s="318"/>
      <c r="F522" s="318"/>
      <c r="G522" s="317"/>
      <c r="H522" s="327"/>
      <c r="I522" s="321"/>
      <c r="J522" s="328"/>
      <c r="K522" s="328"/>
      <c r="L522" s="317"/>
      <c r="M522" s="317"/>
      <c r="N522" s="317"/>
      <c r="O522" s="317"/>
      <c r="P522" s="317"/>
      <c r="Q522" s="317"/>
      <c r="R522" s="317"/>
      <c r="S522" s="317"/>
      <c r="T522" s="317"/>
    </row>
    <row r="523" ht="15.75" customHeight="1">
      <c r="A523" s="317"/>
      <c r="B523" s="318"/>
      <c r="C523" s="317"/>
      <c r="D523" s="317"/>
      <c r="E523" s="318"/>
      <c r="F523" s="318"/>
      <c r="G523" s="317"/>
      <c r="H523" s="327"/>
      <c r="I523" s="321"/>
      <c r="J523" s="328"/>
      <c r="K523" s="328"/>
      <c r="L523" s="317"/>
      <c r="M523" s="317"/>
      <c r="N523" s="317"/>
      <c r="O523" s="317"/>
      <c r="P523" s="317"/>
      <c r="Q523" s="317"/>
      <c r="R523" s="317"/>
      <c r="S523" s="317"/>
      <c r="T523" s="317"/>
    </row>
    <row r="524" ht="15.75" customHeight="1">
      <c r="A524" s="317"/>
      <c r="B524" s="318"/>
      <c r="C524" s="317"/>
      <c r="D524" s="317"/>
      <c r="E524" s="318"/>
      <c r="F524" s="318"/>
      <c r="G524" s="317"/>
      <c r="H524" s="327"/>
      <c r="I524" s="321"/>
      <c r="J524" s="328"/>
      <c r="K524" s="328"/>
      <c r="L524" s="317"/>
      <c r="M524" s="317"/>
      <c r="N524" s="317"/>
      <c r="O524" s="317"/>
      <c r="P524" s="317"/>
      <c r="Q524" s="317"/>
      <c r="R524" s="317"/>
      <c r="S524" s="317"/>
      <c r="T524" s="317"/>
    </row>
    <row r="525" ht="15.75" customHeight="1">
      <c r="A525" s="317"/>
      <c r="B525" s="318"/>
      <c r="C525" s="317"/>
      <c r="D525" s="317"/>
      <c r="E525" s="318"/>
      <c r="F525" s="318"/>
      <c r="G525" s="317"/>
      <c r="H525" s="327"/>
      <c r="I525" s="321"/>
      <c r="J525" s="328"/>
      <c r="K525" s="328"/>
      <c r="L525" s="317"/>
      <c r="M525" s="317"/>
      <c r="N525" s="317"/>
      <c r="O525" s="317"/>
      <c r="P525" s="317"/>
      <c r="Q525" s="317"/>
      <c r="R525" s="317"/>
      <c r="S525" s="317"/>
      <c r="T525" s="317"/>
    </row>
    <row r="526" ht="15.75" customHeight="1">
      <c r="A526" s="317"/>
      <c r="B526" s="318"/>
      <c r="C526" s="317"/>
      <c r="D526" s="317"/>
      <c r="E526" s="318"/>
      <c r="F526" s="318"/>
      <c r="G526" s="317"/>
      <c r="H526" s="327"/>
      <c r="I526" s="321"/>
      <c r="J526" s="328"/>
      <c r="K526" s="328"/>
      <c r="L526" s="317"/>
      <c r="M526" s="317"/>
      <c r="N526" s="317"/>
      <c r="O526" s="317"/>
      <c r="P526" s="317"/>
      <c r="Q526" s="317"/>
      <c r="R526" s="317"/>
      <c r="S526" s="317"/>
      <c r="T526" s="317"/>
    </row>
    <row r="527" ht="15.75" customHeight="1">
      <c r="A527" s="317"/>
      <c r="B527" s="318"/>
      <c r="C527" s="317"/>
      <c r="D527" s="317"/>
      <c r="E527" s="318"/>
      <c r="F527" s="318"/>
      <c r="G527" s="317"/>
      <c r="H527" s="327"/>
      <c r="I527" s="321"/>
      <c r="J527" s="328"/>
      <c r="K527" s="328"/>
      <c r="L527" s="317"/>
      <c r="M527" s="317"/>
      <c r="N527" s="317"/>
      <c r="O527" s="317"/>
      <c r="P527" s="317"/>
      <c r="Q527" s="317"/>
      <c r="R527" s="317"/>
      <c r="S527" s="317"/>
      <c r="T527" s="317"/>
    </row>
    <row r="528" ht="15.75" customHeight="1">
      <c r="A528" s="317"/>
      <c r="B528" s="318"/>
      <c r="C528" s="317"/>
      <c r="D528" s="317"/>
      <c r="E528" s="318"/>
      <c r="F528" s="318"/>
      <c r="G528" s="317"/>
      <c r="H528" s="327"/>
      <c r="I528" s="321"/>
      <c r="J528" s="328"/>
      <c r="K528" s="328"/>
      <c r="L528" s="317"/>
      <c r="M528" s="317"/>
      <c r="N528" s="317"/>
      <c r="O528" s="317"/>
      <c r="P528" s="317"/>
      <c r="Q528" s="317"/>
      <c r="R528" s="317"/>
      <c r="S528" s="317"/>
      <c r="T528" s="317"/>
    </row>
    <row r="529" ht="15.75" customHeight="1">
      <c r="A529" s="317"/>
      <c r="B529" s="318"/>
      <c r="C529" s="317"/>
      <c r="D529" s="317"/>
      <c r="E529" s="318"/>
      <c r="F529" s="318"/>
      <c r="G529" s="317"/>
      <c r="H529" s="327"/>
      <c r="I529" s="321"/>
      <c r="J529" s="328"/>
      <c r="K529" s="328"/>
      <c r="L529" s="317"/>
      <c r="M529" s="317"/>
      <c r="N529" s="317"/>
      <c r="O529" s="317"/>
      <c r="P529" s="317"/>
      <c r="Q529" s="317"/>
      <c r="R529" s="317"/>
      <c r="S529" s="317"/>
      <c r="T529" s="317"/>
    </row>
    <row r="530" ht="15.75" customHeight="1">
      <c r="A530" s="317"/>
      <c r="B530" s="318"/>
      <c r="C530" s="317"/>
      <c r="D530" s="317"/>
      <c r="E530" s="318"/>
      <c r="F530" s="318"/>
      <c r="G530" s="317"/>
      <c r="H530" s="327"/>
      <c r="I530" s="321"/>
      <c r="J530" s="328"/>
      <c r="K530" s="328"/>
      <c r="L530" s="317"/>
      <c r="M530" s="317"/>
      <c r="N530" s="317"/>
      <c r="O530" s="317"/>
      <c r="P530" s="317"/>
      <c r="Q530" s="317"/>
      <c r="R530" s="317"/>
      <c r="S530" s="317"/>
      <c r="T530" s="317"/>
    </row>
    <row r="531" ht="15.75" customHeight="1">
      <c r="A531" s="317"/>
      <c r="B531" s="318"/>
      <c r="C531" s="317"/>
      <c r="D531" s="317"/>
      <c r="E531" s="318"/>
      <c r="F531" s="318"/>
      <c r="G531" s="317"/>
      <c r="H531" s="327"/>
      <c r="I531" s="321"/>
      <c r="J531" s="328"/>
      <c r="K531" s="328"/>
      <c r="L531" s="317"/>
      <c r="M531" s="317"/>
      <c r="N531" s="317"/>
      <c r="O531" s="317"/>
      <c r="P531" s="317"/>
      <c r="Q531" s="317"/>
      <c r="R531" s="317"/>
      <c r="S531" s="317"/>
      <c r="T531" s="317"/>
    </row>
    <row r="532" ht="15.75" customHeight="1">
      <c r="A532" s="317"/>
      <c r="B532" s="318"/>
      <c r="C532" s="317"/>
      <c r="D532" s="317"/>
      <c r="E532" s="318"/>
      <c r="F532" s="318"/>
      <c r="G532" s="317"/>
      <c r="H532" s="327"/>
      <c r="I532" s="321"/>
      <c r="J532" s="328"/>
      <c r="K532" s="328"/>
      <c r="L532" s="317"/>
      <c r="M532" s="317"/>
      <c r="N532" s="317"/>
      <c r="O532" s="317"/>
      <c r="P532" s="317"/>
      <c r="Q532" s="317"/>
      <c r="R532" s="317"/>
      <c r="S532" s="317"/>
      <c r="T532" s="317"/>
    </row>
    <row r="533" ht="15.75" customHeight="1">
      <c r="A533" s="317"/>
      <c r="B533" s="318"/>
      <c r="C533" s="317"/>
      <c r="D533" s="317"/>
      <c r="E533" s="318"/>
      <c r="F533" s="318"/>
      <c r="G533" s="317"/>
      <c r="H533" s="327"/>
      <c r="I533" s="321"/>
      <c r="J533" s="328"/>
      <c r="K533" s="328"/>
      <c r="L533" s="317"/>
      <c r="M533" s="317"/>
      <c r="N533" s="317"/>
      <c r="O533" s="317"/>
      <c r="P533" s="317"/>
      <c r="Q533" s="317"/>
      <c r="R533" s="317"/>
      <c r="S533" s="317"/>
      <c r="T533" s="317"/>
    </row>
    <row r="534" ht="15.75" customHeight="1">
      <c r="A534" s="317"/>
      <c r="B534" s="318"/>
      <c r="C534" s="317"/>
      <c r="D534" s="317"/>
      <c r="E534" s="318"/>
      <c r="F534" s="318"/>
      <c r="G534" s="317"/>
      <c r="H534" s="327"/>
      <c r="I534" s="321"/>
      <c r="J534" s="328"/>
      <c r="K534" s="328"/>
      <c r="L534" s="317"/>
      <c r="M534" s="317"/>
      <c r="N534" s="317"/>
      <c r="O534" s="317"/>
      <c r="P534" s="317"/>
      <c r="Q534" s="317"/>
      <c r="R534" s="317"/>
      <c r="S534" s="317"/>
      <c r="T534" s="317"/>
    </row>
    <row r="535" ht="15.75" customHeight="1">
      <c r="A535" s="317"/>
      <c r="B535" s="318"/>
      <c r="C535" s="317"/>
      <c r="D535" s="317"/>
      <c r="E535" s="318"/>
      <c r="F535" s="318"/>
      <c r="G535" s="317"/>
      <c r="H535" s="327"/>
      <c r="I535" s="321"/>
      <c r="J535" s="328"/>
      <c r="K535" s="328"/>
      <c r="L535" s="317"/>
      <c r="M535" s="317"/>
      <c r="N535" s="317"/>
      <c r="O535" s="317"/>
      <c r="P535" s="317"/>
      <c r="Q535" s="317"/>
      <c r="R535" s="317"/>
      <c r="S535" s="317"/>
      <c r="T535" s="317"/>
    </row>
    <row r="536" ht="15.75" customHeight="1">
      <c r="A536" s="317"/>
      <c r="B536" s="318"/>
      <c r="C536" s="317"/>
      <c r="D536" s="317"/>
      <c r="E536" s="318"/>
      <c r="F536" s="318"/>
      <c r="G536" s="317"/>
      <c r="H536" s="327"/>
      <c r="I536" s="321"/>
      <c r="J536" s="328"/>
      <c r="K536" s="328"/>
      <c r="L536" s="317"/>
      <c r="M536" s="317"/>
      <c r="N536" s="317"/>
      <c r="O536" s="317"/>
      <c r="P536" s="317"/>
      <c r="Q536" s="317"/>
      <c r="R536" s="317"/>
      <c r="S536" s="317"/>
      <c r="T536" s="317"/>
    </row>
    <row r="537" ht="15.75" customHeight="1">
      <c r="A537" s="317"/>
      <c r="B537" s="318"/>
      <c r="C537" s="317"/>
      <c r="D537" s="317"/>
      <c r="E537" s="318"/>
      <c r="F537" s="318"/>
      <c r="G537" s="317"/>
      <c r="H537" s="327"/>
      <c r="I537" s="321"/>
      <c r="J537" s="328"/>
      <c r="K537" s="328"/>
      <c r="L537" s="317"/>
      <c r="M537" s="317"/>
      <c r="N537" s="317"/>
      <c r="O537" s="317"/>
      <c r="P537" s="317"/>
      <c r="Q537" s="317"/>
      <c r="R537" s="317"/>
      <c r="S537" s="317"/>
      <c r="T537" s="317"/>
    </row>
    <row r="538" ht="15.75" customHeight="1">
      <c r="A538" s="317"/>
      <c r="B538" s="318"/>
      <c r="C538" s="317"/>
      <c r="D538" s="317"/>
      <c r="E538" s="318"/>
      <c r="F538" s="318"/>
      <c r="G538" s="317"/>
      <c r="H538" s="327"/>
      <c r="I538" s="321"/>
      <c r="J538" s="328"/>
      <c r="K538" s="328"/>
      <c r="L538" s="317"/>
      <c r="M538" s="317"/>
      <c r="N538" s="317"/>
      <c r="O538" s="317"/>
      <c r="P538" s="317"/>
      <c r="Q538" s="317"/>
      <c r="R538" s="317"/>
      <c r="S538" s="317"/>
      <c r="T538" s="317"/>
    </row>
    <row r="539" ht="15.75" customHeight="1">
      <c r="A539" s="317"/>
      <c r="B539" s="318"/>
      <c r="C539" s="317"/>
      <c r="D539" s="317"/>
      <c r="E539" s="318"/>
      <c r="F539" s="318"/>
      <c r="G539" s="317"/>
      <c r="H539" s="327"/>
      <c r="I539" s="321"/>
      <c r="J539" s="328"/>
      <c r="K539" s="328"/>
      <c r="L539" s="317"/>
      <c r="M539" s="317"/>
      <c r="N539" s="317"/>
      <c r="O539" s="317"/>
      <c r="P539" s="317"/>
      <c r="Q539" s="317"/>
      <c r="R539" s="317"/>
      <c r="S539" s="317"/>
      <c r="T539" s="317"/>
    </row>
    <row r="540" ht="15.75" customHeight="1">
      <c r="A540" s="317"/>
      <c r="B540" s="318"/>
      <c r="C540" s="317"/>
      <c r="D540" s="317"/>
      <c r="E540" s="318"/>
      <c r="F540" s="318"/>
      <c r="G540" s="317"/>
      <c r="H540" s="327"/>
      <c r="I540" s="321"/>
      <c r="J540" s="328"/>
      <c r="K540" s="328"/>
      <c r="L540" s="317"/>
      <c r="M540" s="317"/>
      <c r="N540" s="317"/>
      <c r="O540" s="317"/>
      <c r="P540" s="317"/>
      <c r="Q540" s="317"/>
      <c r="R540" s="317"/>
      <c r="S540" s="317"/>
      <c r="T540" s="317"/>
    </row>
    <row r="541" ht="15.75" customHeight="1">
      <c r="A541" s="317"/>
      <c r="B541" s="318"/>
      <c r="C541" s="317"/>
      <c r="D541" s="317"/>
      <c r="E541" s="318"/>
      <c r="F541" s="318"/>
      <c r="G541" s="317"/>
      <c r="H541" s="327"/>
      <c r="I541" s="321"/>
      <c r="J541" s="328"/>
      <c r="K541" s="328"/>
      <c r="L541" s="317"/>
      <c r="M541" s="317"/>
      <c r="N541" s="317"/>
      <c r="O541" s="317"/>
      <c r="P541" s="317"/>
      <c r="Q541" s="317"/>
      <c r="R541" s="317"/>
      <c r="S541" s="317"/>
      <c r="T541" s="317"/>
    </row>
    <row r="542" ht="15.75" customHeight="1">
      <c r="A542" s="317"/>
      <c r="B542" s="318"/>
      <c r="C542" s="317"/>
      <c r="D542" s="317"/>
      <c r="E542" s="318"/>
      <c r="F542" s="318"/>
      <c r="G542" s="317"/>
      <c r="H542" s="327"/>
      <c r="I542" s="321"/>
      <c r="J542" s="328"/>
      <c r="K542" s="328"/>
      <c r="L542" s="317"/>
      <c r="M542" s="317"/>
      <c r="N542" s="317"/>
      <c r="O542" s="317"/>
      <c r="P542" s="317"/>
      <c r="Q542" s="317"/>
      <c r="R542" s="317"/>
      <c r="S542" s="317"/>
      <c r="T542" s="317"/>
    </row>
    <row r="543" ht="15.75" customHeight="1">
      <c r="A543" s="317"/>
      <c r="B543" s="318"/>
      <c r="C543" s="317"/>
      <c r="D543" s="317"/>
      <c r="E543" s="318"/>
      <c r="F543" s="318"/>
      <c r="G543" s="317"/>
      <c r="H543" s="327"/>
      <c r="I543" s="321"/>
      <c r="J543" s="328"/>
      <c r="K543" s="328"/>
      <c r="L543" s="317"/>
      <c r="M543" s="317"/>
      <c r="N543" s="317"/>
      <c r="O543" s="317"/>
      <c r="P543" s="317"/>
      <c r="Q543" s="317"/>
      <c r="R543" s="317"/>
      <c r="S543" s="317"/>
      <c r="T543" s="317"/>
    </row>
    <row r="544" ht="15.75" customHeight="1">
      <c r="A544" s="317"/>
      <c r="B544" s="318"/>
      <c r="C544" s="317"/>
      <c r="D544" s="317"/>
      <c r="E544" s="318"/>
      <c r="F544" s="318"/>
      <c r="G544" s="317"/>
      <c r="H544" s="327"/>
      <c r="I544" s="321"/>
      <c r="J544" s="328"/>
      <c r="K544" s="328"/>
      <c r="L544" s="317"/>
      <c r="M544" s="317"/>
      <c r="N544" s="317"/>
      <c r="O544" s="317"/>
      <c r="P544" s="317"/>
      <c r="Q544" s="317"/>
      <c r="R544" s="317"/>
      <c r="S544" s="317"/>
      <c r="T544" s="317"/>
    </row>
    <row r="545" ht="15.75" customHeight="1">
      <c r="A545" s="317"/>
      <c r="B545" s="318"/>
      <c r="C545" s="317"/>
      <c r="D545" s="317"/>
      <c r="E545" s="318"/>
      <c r="F545" s="318"/>
      <c r="G545" s="317"/>
      <c r="H545" s="327"/>
      <c r="I545" s="321"/>
      <c r="J545" s="328"/>
      <c r="K545" s="328"/>
      <c r="L545" s="317"/>
      <c r="M545" s="317"/>
      <c r="N545" s="317"/>
      <c r="O545" s="317"/>
      <c r="P545" s="317"/>
      <c r="Q545" s="317"/>
      <c r="R545" s="317"/>
      <c r="S545" s="317"/>
      <c r="T545" s="317"/>
    </row>
    <row r="546" ht="15.75" customHeight="1">
      <c r="A546" s="317"/>
      <c r="B546" s="318"/>
      <c r="C546" s="317"/>
      <c r="D546" s="317"/>
      <c r="E546" s="318"/>
      <c r="F546" s="318"/>
      <c r="G546" s="317"/>
      <c r="H546" s="327"/>
      <c r="I546" s="321"/>
      <c r="J546" s="328"/>
      <c r="K546" s="328"/>
      <c r="L546" s="317"/>
      <c r="M546" s="317"/>
      <c r="N546" s="317"/>
      <c r="O546" s="317"/>
      <c r="P546" s="317"/>
      <c r="Q546" s="317"/>
      <c r="R546" s="317"/>
      <c r="S546" s="317"/>
      <c r="T546" s="317"/>
    </row>
    <row r="547" ht="15.75" customHeight="1">
      <c r="A547" s="317"/>
      <c r="B547" s="318"/>
      <c r="C547" s="317"/>
      <c r="D547" s="317"/>
      <c r="E547" s="318"/>
      <c r="F547" s="318"/>
      <c r="G547" s="317"/>
      <c r="H547" s="327"/>
      <c r="I547" s="321"/>
      <c r="J547" s="328"/>
      <c r="K547" s="328"/>
      <c r="L547" s="317"/>
      <c r="M547" s="317"/>
      <c r="N547" s="317"/>
      <c r="O547" s="317"/>
      <c r="P547" s="317"/>
      <c r="Q547" s="317"/>
      <c r="R547" s="317"/>
      <c r="S547" s="317"/>
      <c r="T547" s="317"/>
    </row>
    <row r="548" ht="15.75" customHeight="1">
      <c r="A548" s="317"/>
      <c r="B548" s="318"/>
      <c r="C548" s="317"/>
      <c r="D548" s="317"/>
      <c r="E548" s="318"/>
      <c r="F548" s="318"/>
      <c r="G548" s="317"/>
      <c r="H548" s="327"/>
      <c r="I548" s="321"/>
      <c r="J548" s="328"/>
      <c r="K548" s="328"/>
      <c r="L548" s="317"/>
      <c r="M548" s="317"/>
      <c r="N548" s="317"/>
      <c r="O548" s="317"/>
      <c r="P548" s="317"/>
      <c r="Q548" s="317"/>
      <c r="R548" s="317"/>
      <c r="S548" s="317"/>
      <c r="T548" s="317"/>
    </row>
    <row r="549" ht="15.75" customHeight="1">
      <c r="A549" s="317"/>
      <c r="B549" s="318"/>
      <c r="C549" s="317"/>
      <c r="D549" s="317"/>
      <c r="E549" s="318"/>
      <c r="F549" s="318"/>
      <c r="G549" s="317"/>
      <c r="H549" s="327"/>
      <c r="I549" s="321"/>
      <c r="J549" s="328"/>
      <c r="K549" s="328"/>
      <c r="L549" s="317"/>
      <c r="M549" s="317"/>
      <c r="N549" s="317"/>
      <c r="O549" s="317"/>
      <c r="P549" s="317"/>
      <c r="Q549" s="317"/>
      <c r="R549" s="317"/>
      <c r="S549" s="317"/>
      <c r="T549" s="317"/>
    </row>
    <row r="550" ht="15.75" customHeight="1">
      <c r="A550" s="317"/>
      <c r="B550" s="318"/>
      <c r="C550" s="317"/>
      <c r="D550" s="317"/>
      <c r="E550" s="318"/>
      <c r="F550" s="318"/>
      <c r="G550" s="317"/>
      <c r="H550" s="327"/>
      <c r="I550" s="321"/>
      <c r="J550" s="328"/>
      <c r="K550" s="328"/>
      <c r="L550" s="317"/>
      <c r="M550" s="317"/>
      <c r="N550" s="317"/>
      <c r="O550" s="317"/>
      <c r="P550" s="317"/>
      <c r="Q550" s="317"/>
      <c r="R550" s="317"/>
      <c r="S550" s="317"/>
      <c r="T550" s="317"/>
    </row>
    <row r="551" ht="15.75" customHeight="1">
      <c r="A551" s="317"/>
      <c r="B551" s="318"/>
      <c r="C551" s="317"/>
      <c r="D551" s="317"/>
      <c r="E551" s="318"/>
      <c r="F551" s="318"/>
      <c r="G551" s="317"/>
      <c r="H551" s="327"/>
      <c r="I551" s="321"/>
      <c r="J551" s="328"/>
      <c r="K551" s="328"/>
      <c r="L551" s="317"/>
      <c r="M551" s="317"/>
      <c r="N551" s="317"/>
      <c r="O551" s="317"/>
      <c r="P551" s="317"/>
      <c r="Q551" s="317"/>
      <c r="R551" s="317"/>
      <c r="S551" s="317"/>
      <c r="T551" s="317"/>
    </row>
    <row r="552" ht="15.75" customHeight="1">
      <c r="A552" s="317"/>
      <c r="B552" s="318"/>
      <c r="C552" s="317"/>
      <c r="D552" s="317"/>
      <c r="E552" s="318"/>
      <c r="F552" s="318"/>
      <c r="G552" s="317"/>
      <c r="H552" s="327"/>
      <c r="I552" s="321"/>
      <c r="J552" s="328"/>
      <c r="K552" s="328"/>
      <c r="L552" s="317"/>
      <c r="M552" s="317"/>
      <c r="N552" s="317"/>
      <c r="O552" s="317"/>
      <c r="P552" s="317"/>
      <c r="Q552" s="317"/>
      <c r="R552" s="317"/>
      <c r="S552" s="317"/>
      <c r="T552" s="317"/>
    </row>
    <row r="553" ht="15.75" customHeight="1">
      <c r="A553" s="317"/>
      <c r="B553" s="318"/>
      <c r="C553" s="317"/>
      <c r="D553" s="317"/>
      <c r="E553" s="318"/>
      <c r="F553" s="318"/>
      <c r="G553" s="317"/>
      <c r="H553" s="327"/>
      <c r="I553" s="321"/>
      <c r="J553" s="328"/>
      <c r="K553" s="328"/>
      <c r="L553" s="317"/>
      <c r="M553" s="317"/>
      <c r="N553" s="317"/>
      <c r="O553" s="317"/>
      <c r="P553" s="317"/>
      <c r="Q553" s="317"/>
      <c r="R553" s="317"/>
      <c r="S553" s="317"/>
      <c r="T553" s="317"/>
    </row>
    <row r="554" ht="15.75" customHeight="1">
      <c r="A554" s="317"/>
      <c r="B554" s="318"/>
      <c r="C554" s="317"/>
      <c r="D554" s="317"/>
      <c r="E554" s="318"/>
      <c r="F554" s="318"/>
      <c r="G554" s="317"/>
      <c r="H554" s="327"/>
      <c r="I554" s="321"/>
      <c r="J554" s="328"/>
      <c r="K554" s="328"/>
      <c r="L554" s="317"/>
      <c r="M554" s="317"/>
      <c r="N554" s="317"/>
      <c r="O554" s="317"/>
      <c r="P554" s="317"/>
      <c r="Q554" s="317"/>
      <c r="R554" s="317"/>
      <c r="S554" s="317"/>
      <c r="T554" s="317"/>
    </row>
    <row r="555" ht="15.75" customHeight="1">
      <c r="A555" s="317"/>
      <c r="B555" s="318"/>
      <c r="C555" s="317"/>
      <c r="D555" s="317"/>
      <c r="E555" s="318"/>
      <c r="F555" s="318"/>
      <c r="G555" s="317"/>
      <c r="H555" s="327"/>
      <c r="I555" s="321"/>
      <c r="J555" s="328"/>
      <c r="K555" s="328"/>
      <c r="L555" s="317"/>
      <c r="M555" s="317"/>
      <c r="N555" s="317"/>
      <c r="O555" s="317"/>
      <c r="P555" s="317"/>
      <c r="Q555" s="317"/>
      <c r="R555" s="317"/>
      <c r="S555" s="317"/>
      <c r="T555" s="317"/>
    </row>
    <row r="556" ht="15.75" customHeight="1">
      <c r="A556" s="317"/>
      <c r="B556" s="318"/>
      <c r="C556" s="317"/>
      <c r="D556" s="317"/>
      <c r="E556" s="318"/>
      <c r="F556" s="318"/>
      <c r="G556" s="317"/>
      <c r="H556" s="327"/>
      <c r="I556" s="321"/>
      <c r="J556" s="328"/>
      <c r="K556" s="328"/>
      <c r="L556" s="317"/>
      <c r="M556" s="317"/>
      <c r="N556" s="317"/>
      <c r="O556" s="317"/>
      <c r="P556" s="317"/>
      <c r="Q556" s="317"/>
      <c r="R556" s="317"/>
      <c r="S556" s="317"/>
      <c r="T556" s="317"/>
    </row>
    <row r="557" ht="15.75" customHeight="1">
      <c r="A557" s="317"/>
      <c r="B557" s="318"/>
      <c r="C557" s="317"/>
      <c r="D557" s="317"/>
      <c r="E557" s="318"/>
      <c r="F557" s="318"/>
      <c r="G557" s="317"/>
      <c r="H557" s="327"/>
      <c r="I557" s="321"/>
      <c r="J557" s="328"/>
      <c r="K557" s="328"/>
      <c r="L557" s="317"/>
      <c r="M557" s="317"/>
      <c r="N557" s="317"/>
      <c r="O557" s="317"/>
      <c r="P557" s="317"/>
      <c r="Q557" s="317"/>
      <c r="R557" s="317"/>
      <c r="S557" s="317"/>
      <c r="T557" s="317"/>
    </row>
    <row r="558" ht="15.75" customHeight="1">
      <c r="A558" s="317"/>
      <c r="B558" s="318"/>
      <c r="C558" s="317"/>
      <c r="D558" s="317"/>
      <c r="E558" s="318"/>
      <c r="F558" s="318"/>
      <c r="G558" s="317"/>
      <c r="H558" s="327"/>
      <c r="I558" s="321"/>
      <c r="J558" s="328"/>
      <c r="K558" s="328"/>
      <c r="L558" s="317"/>
      <c r="M558" s="317"/>
      <c r="N558" s="317"/>
      <c r="O558" s="317"/>
      <c r="P558" s="317"/>
      <c r="Q558" s="317"/>
      <c r="R558" s="317"/>
      <c r="S558" s="317"/>
      <c r="T558" s="317"/>
    </row>
    <row r="559" ht="15.75" customHeight="1">
      <c r="A559" s="317"/>
      <c r="B559" s="318"/>
      <c r="C559" s="317"/>
      <c r="D559" s="317"/>
      <c r="E559" s="318"/>
      <c r="F559" s="318"/>
      <c r="G559" s="317"/>
      <c r="H559" s="327"/>
      <c r="I559" s="321"/>
      <c r="J559" s="328"/>
      <c r="K559" s="328"/>
      <c r="L559" s="317"/>
      <c r="M559" s="317"/>
      <c r="N559" s="317"/>
      <c r="O559" s="317"/>
      <c r="P559" s="317"/>
      <c r="Q559" s="317"/>
      <c r="R559" s="317"/>
      <c r="S559" s="317"/>
      <c r="T559" s="317"/>
    </row>
    <row r="560" ht="15.75" customHeight="1">
      <c r="A560" s="317"/>
      <c r="B560" s="318"/>
      <c r="C560" s="317"/>
      <c r="D560" s="317"/>
      <c r="E560" s="318"/>
      <c r="F560" s="318"/>
      <c r="G560" s="317"/>
      <c r="H560" s="327"/>
      <c r="I560" s="321"/>
      <c r="J560" s="328"/>
      <c r="K560" s="328"/>
      <c r="L560" s="317"/>
      <c r="M560" s="317"/>
      <c r="N560" s="317"/>
      <c r="O560" s="317"/>
      <c r="P560" s="317"/>
      <c r="Q560" s="317"/>
      <c r="R560" s="317"/>
      <c r="S560" s="317"/>
      <c r="T560" s="317"/>
    </row>
    <row r="561" ht="15.75" customHeight="1">
      <c r="A561" s="317"/>
      <c r="B561" s="318"/>
      <c r="C561" s="317"/>
      <c r="D561" s="317"/>
      <c r="E561" s="318"/>
      <c r="F561" s="318"/>
      <c r="G561" s="317"/>
      <c r="H561" s="327"/>
      <c r="I561" s="321"/>
      <c r="J561" s="328"/>
      <c r="K561" s="328"/>
      <c r="L561" s="317"/>
      <c r="M561" s="317"/>
      <c r="N561" s="317"/>
      <c r="O561" s="317"/>
      <c r="P561" s="317"/>
      <c r="Q561" s="317"/>
      <c r="R561" s="317"/>
      <c r="S561" s="317"/>
      <c r="T561" s="317"/>
    </row>
    <row r="562" ht="15.75" customHeight="1">
      <c r="A562" s="317"/>
      <c r="B562" s="318"/>
      <c r="C562" s="317"/>
      <c r="D562" s="317"/>
      <c r="E562" s="318"/>
      <c r="F562" s="318"/>
      <c r="G562" s="317"/>
      <c r="H562" s="327"/>
      <c r="I562" s="321"/>
      <c r="J562" s="328"/>
      <c r="K562" s="328"/>
      <c r="L562" s="317"/>
      <c r="M562" s="317"/>
      <c r="N562" s="317"/>
      <c r="O562" s="317"/>
      <c r="P562" s="317"/>
      <c r="Q562" s="317"/>
      <c r="R562" s="317"/>
      <c r="S562" s="317"/>
      <c r="T562" s="317"/>
    </row>
    <row r="563" ht="15.75" customHeight="1">
      <c r="A563" s="317"/>
      <c r="B563" s="318"/>
      <c r="C563" s="317"/>
      <c r="D563" s="317"/>
      <c r="E563" s="318"/>
      <c r="F563" s="318"/>
      <c r="G563" s="317"/>
      <c r="H563" s="327"/>
      <c r="I563" s="321"/>
      <c r="J563" s="328"/>
      <c r="K563" s="328"/>
      <c r="L563" s="317"/>
      <c r="M563" s="317"/>
      <c r="N563" s="317"/>
      <c r="O563" s="317"/>
      <c r="P563" s="317"/>
      <c r="Q563" s="317"/>
      <c r="R563" s="317"/>
      <c r="S563" s="317"/>
      <c r="T563" s="317"/>
    </row>
    <row r="564" ht="15.75" customHeight="1">
      <c r="A564" s="317"/>
      <c r="B564" s="318"/>
      <c r="C564" s="317"/>
      <c r="D564" s="317"/>
      <c r="E564" s="318"/>
      <c r="F564" s="318"/>
      <c r="G564" s="317"/>
      <c r="H564" s="327"/>
      <c r="I564" s="321"/>
      <c r="J564" s="328"/>
      <c r="K564" s="328"/>
      <c r="L564" s="317"/>
      <c r="M564" s="317"/>
      <c r="N564" s="317"/>
      <c r="O564" s="317"/>
      <c r="P564" s="317"/>
      <c r="Q564" s="317"/>
      <c r="R564" s="317"/>
      <c r="S564" s="317"/>
      <c r="T564" s="317"/>
    </row>
    <row r="565" ht="15.75" customHeight="1">
      <c r="A565" s="317"/>
      <c r="B565" s="318"/>
      <c r="C565" s="317"/>
      <c r="D565" s="317"/>
      <c r="E565" s="318"/>
      <c r="F565" s="318"/>
      <c r="G565" s="317"/>
      <c r="H565" s="327"/>
      <c r="I565" s="321"/>
      <c r="J565" s="328"/>
      <c r="K565" s="328"/>
      <c r="L565" s="317"/>
      <c r="M565" s="317"/>
      <c r="N565" s="317"/>
      <c r="O565" s="317"/>
      <c r="P565" s="317"/>
      <c r="Q565" s="317"/>
      <c r="R565" s="317"/>
      <c r="S565" s="317"/>
      <c r="T565" s="317"/>
    </row>
    <row r="566" ht="15.75" customHeight="1">
      <c r="A566" s="317"/>
      <c r="B566" s="318"/>
      <c r="C566" s="317"/>
      <c r="D566" s="317"/>
      <c r="E566" s="318"/>
      <c r="F566" s="318"/>
      <c r="G566" s="317"/>
      <c r="H566" s="327"/>
      <c r="I566" s="321"/>
      <c r="J566" s="328"/>
      <c r="K566" s="328"/>
      <c r="L566" s="317"/>
      <c r="M566" s="317"/>
      <c r="N566" s="317"/>
      <c r="O566" s="317"/>
      <c r="P566" s="317"/>
      <c r="Q566" s="317"/>
      <c r="R566" s="317"/>
      <c r="S566" s="317"/>
      <c r="T566" s="317"/>
    </row>
    <row r="567" ht="15.75" customHeight="1">
      <c r="A567" s="317"/>
      <c r="B567" s="318"/>
      <c r="C567" s="317"/>
      <c r="D567" s="317"/>
      <c r="E567" s="318"/>
      <c r="F567" s="318"/>
      <c r="G567" s="317"/>
      <c r="H567" s="327"/>
      <c r="I567" s="321"/>
      <c r="J567" s="328"/>
      <c r="K567" s="328"/>
      <c r="L567" s="317"/>
      <c r="M567" s="317"/>
      <c r="N567" s="317"/>
      <c r="O567" s="317"/>
      <c r="P567" s="317"/>
      <c r="Q567" s="317"/>
      <c r="R567" s="317"/>
      <c r="S567" s="317"/>
      <c r="T567" s="317"/>
    </row>
    <row r="568" ht="15.75" customHeight="1">
      <c r="A568" s="317"/>
      <c r="B568" s="318"/>
      <c r="C568" s="317"/>
      <c r="D568" s="317"/>
      <c r="E568" s="318"/>
      <c r="F568" s="318"/>
      <c r="G568" s="317"/>
      <c r="H568" s="327"/>
      <c r="I568" s="321"/>
      <c r="J568" s="328"/>
      <c r="K568" s="328"/>
      <c r="L568" s="317"/>
      <c r="M568" s="317"/>
      <c r="N568" s="317"/>
      <c r="O568" s="317"/>
      <c r="P568" s="317"/>
      <c r="Q568" s="317"/>
      <c r="R568" s="317"/>
      <c r="S568" s="317"/>
      <c r="T568" s="317"/>
    </row>
    <row r="569" ht="15.75" customHeight="1">
      <c r="A569" s="317"/>
      <c r="B569" s="318"/>
      <c r="C569" s="317"/>
      <c r="D569" s="317"/>
      <c r="E569" s="318"/>
      <c r="F569" s="318"/>
      <c r="G569" s="317"/>
      <c r="H569" s="327"/>
      <c r="I569" s="321"/>
      <c r="J569" s="328"/>
      <c r="K569" s="328"/>
      <c r="L569" s="317"/>
      <c r="M569" s="317"/>
      <c r="N569" s="317"/>
      <c r="O569" s="317"/>
      <c r="P569" s="317"/>
      <c r="Q569" s="317"/>
      <c r="R569" s="317"/>
      <c r="S569" s="317"/>
      <c r="T569" s="317"/>
    </row>
    <row r="570" ht="15.75" customHeight="1">
      <c r="A570" s="317"/>
      <c r="B570" s="318"/>
      <c r="C570" s="317"/>
      <c r="D570" s="317"/>
      <c r="E570" s="318"/>
      <c r="F570" s="318"/>
      <c r="G570" s="317"/>
      <c r="H570" s="327"/>
      <c r="I570" s="321"/>
      <c r="J570" s="328"/>
      <c r="K570" s="328"/>
      <c r="L570" s="317"/>
      <c r="M570" s="317"/>
      <c r="N570" s="317"/>
      <c r="O570" s="317"/>
      <c r="P570" s="317"/>
      <c r="Q570" s="317"/>
      <c r="R570" s="317"/>
      <c r="S570" s="317"/>
      <c r="T570" s="317"/>
    </row>
    <row r="571" ht="15.75" customHeight="1">
      <c r="A571" s="317"/>
      <c r="B571" s="318"/>
      <c r="C571" s="317"/>
      <c r="D571" s="317"/>
      <c r="E571" s="318"/>
      <c r="F571" s="318"/>
      <c r="G571" s="317"/>
      <c r="H571" s="327"/>
      <c r="I571" s="321"/>
      <c r="J571" s="328"/>
      <c r="K571" s="328"/>
      <c r="L571" s="317"/>
      <c r="M571" s="317"/>
      <c r="N571" s="317"/>
      <c r="O571" s="317"/>
      <c r="P571" s="317"/>
      <c r="Q571" s="317"/>
      <c r="R571" s="317"/>
      <c r="S571" s="317"/>
      <c r="T571" s="317"/>
    </row>
    <row r="572" ht="15.75" customHeight="1">
      <c r="A572" s="317"/>
      <c r="B572" s="318"/>
      <c r="C572" s="317"/>
      <c r="D572" s="317"/>
      <c r="E572" s="318"/>
      <c r="F572" s="318"/>
      <c r="G572" s="317"/>
      <c r="H572" s="327"/>
      <c r="I572" s="321"/>
      <c r="J572" s="328"/>
      <c r="K572" s="328"/>
      <c r="L572" s="317"/>
      <c r="M572" s="317"/>
      <c r="N572" s="317"/>
      <c r="O572" s="317"/>
      <c r="P572" s="317"/>
      <c r="Q572" s="317"/>
      <c r="R572" s="317"/>
      <c r="S572" s="317"/>
      <c r="T572" s="317"/>
    </row>
    <row r="573" ht="15.75" customHeight="1">
      <c r="A573" s="317"/>
      <c r="B573" s="318"/>
      <c r="C573" s="317"/>
      <c r="D573" s="317"/>
      <c r="E573" s="318"/>
      <c r="F573" s="318"/>
      <c r="G573" s="317"/>
      <c r="H573" s="327"/>
      <c r="I573" s="321"/>
      <c r="J573" s="328"/>
      <c r="K573" s="328"/>
      <c r="L573" s="317"/>
      <c r="M573" s="317"/>
      <c r="N573" s="317"/>
      <c r="O573" s="317"/>
      <c r="P573" s="317"/>
      <c r="Q573" s="317"/>
      <c r="R573" s="317"/>
      <c r="S573" s="317"/>
      <c r="T573" s="317"/>
    </row>
    <row r="574" ht="15.75" customHeight="1">
      <c r="A574" s="317"/>
      <c r="B574" s="318"/>
      <c r="C574" s="317"/>
      <c r="D574" s="317"/>
      <c r="E574" s="318"/>
      <c r="F574" s="318"/>
      <c r="G574" s="317"/>
      <c r="H574" s="327"/>
      <c r="I574" s="321"/>
      <c r="J574" s="328"/>
      <c r="K574" s="328"/>
      <c r="L574" s="317"/>
      <c r="M574" s="317"/>
      <c r="N574" s="317"/>
      <c r="O574" s="317"/>
      <c r="P574" s="317"/>
      <c r="Q574" s="317"/>
      <c r="R574" s="317"/>
      <c r="S574" s="317"/>
      <c r="T574" s="317"/>
    </row>
    <row r="575" ht="15.75" customHeight="1">
      <c r="A575" s="317"/>
      <c r="B575" s="318"/>
      <c r="C575" s="317"/>
      <c r="D575" s="317"/>
      <c r="E575" s="318"/>
      <c r="F575" s="318"/>
      <c r="G575" s="317"/>
      <c r="H575" s="327"/>
      <c r="I575" s="321"/>
      <c r="J575" s="328"/>
      <c r="K575" s="328"/>
      <c r="L575" s="317"/>
      <c r="M575" s="317"/>
      <c r="N575" s="317"/>
      <c r="O575" s="317"/>
      <c r="P575" s="317"/>
      <c r="Q575" s="317"/>
      <c r="R575" s="317"/>
      <c r="S575" s="317"/>
      <c r="T575" s="317"/>
    </row>
    <row r="576" ht="15.75" customHeight="1">
      <c r="A576" s="317"/>
      <c r="B576" s="318"/>
      <c r="C576" s="317"/>
      <c r="D576" s="317"/>
      <c r="E576" s="318"/>
      <c r="F576" s="318"/>
      <c r="G576" s="317"/>
      <c r="H576" s="327"/>
      <c r="I576" s="321"/>
      <c r="J576" s="328"/>
      <c r="K576" s="328"/>
      <c r="L576" s="317"/>
      <c r="M576" s="317"/>
      <c r="N576" s="317"/>
      <c r="O576" s="317"/>
      <c r="P576" s="317"/>
      <c r="Q576" s="317"/>
      <c r="R576" s="317"/>
      <c r="S576" s="317"/>
      <c r="T576" s="317"/>
    </row>
    <row r="577" ht="15.75" customHeight="1">
      <c r="A577" s="317"/>
      <c r="B577" s="318"/>
      <c r="C577" s="317"/>
      <c r="D577" s="317"/>
      <c r="E577" s="318"/>
      <c r="F577" s="318"/>
      <c r="G577" s="317"/>
      <c r="H577" s="327"/>
      <c r="I577" s="321"/>
      <c r="J577" s="328"/>
      <c r="K577" s="328"/>
      <c r="L577" s="317"/>
      <c r="M577" s="317"/>
      <c r="N577" s="317"/>
      <c r="O577" s="317"/>
      <c r="P577" s="317"/>
      <c r="Q577" s="317"/>
      <c r="R577" s="317"/>
      <c r="S577" s="317"/>
      <c r="T577" s="317"/>
    </row>
    <row r="578" ht="15.75" customHeight="1">
      <c r="A578" s="317"/>
      <c r="B578" s="318"/>
      <c r="C578" s="317"/>
      <c r="D578" s="317"/>
      <c r="E578" s="318"/>
      <c r="F578" s="318"/>
      <c r="G578" s="317"/>
      <c r="H578" s="327"/>
      <c r="I578" s="321"/>
      <c r="J578" s="328"/>
      <c r="K578" s="328"/>
      <c r="L578" s="317"/>
      <c r="M578" s="317"/>
      <c r="N578" s="317"/>
      <c r="O578" s="317"/>
      <c r="P578" s="317"/>
      <c r="Q578" s="317"/>
      <c r="R578" s="317"/>
      <c r="S578" s="317"/>
      <c r="T578" s="317"/>
    </row>
    <row r="579" ht="15.75" customHeight="1">
      <c r="A579" s="317"/>
      <c r="B579" s="318"/>
      <c r="C579" s="317"/>
      <c r="D579" s="317"/>
      <c r="E579" s="318"/>
      <c r="F579" s="318"/>
      <c r="G579" s="317"/>
      <c r="H579" s="327"/>
      <c r="I579" s="321"/>
      <c r="J579" s="328"/>
      <c r="K579" s="328"/>
      <c r="L579" s="317"/>
      <c r="M579" s="317"/>
      <c r="N579" s="317"/>
      <c r="O579" s="317"/>
      <c r="P579" s="317"/>
      <c r="Q579" s="317"/>
      <c r="R579" s="317"/>
      <c r="S579" s="317"/>
      <c r="T579" s="317"/>
    </row>
    <row r="580" ht="15.75" customHeight="1">
      <c r="A580" s="317"/>
      <c r="B580" s="318"/>
      <c r="C580" s="317"/>
      <c r="D580" s="317"/>
      <c r="E580" s="318"/>
      <c r="F580" s="318"/>
      <c r="G580" s="317"/>
      <c r="H580" s="327"/>
      <c r="I580" s="321"/>
      <c r="J580" s="328"/>
      <c r="K580" s="328"/>
      <c r="L580" s="317"/>
      <c r="M580" s="317"/>
      <c r="N580" s="317"/>
      <c r="O580" s="317"/>
      <c r="P580" s="317"/>
      <c r="Q580" s="317"/>
      <c r="R580" s="317"/>
      <c r="S580" s="317"/>
      <c r="T580" s="317"/>
    </row>
    <row r="581" ht="15.75" customHeight="1">
      <c r="A581" s="317"/>
      <c r="B581" s="318"/>
      <c r="C581" s="317"/>
      <c r="D581" s="317"/>
      <c r="E581" s="318"/>
      <c r="F581" s="318"/>
      <c r="G581" s="317"/>
      <c r="H581" s="327"/>
      <c r="I581" s="321"/>
      <c r="J581" s="328"/>
      <c r="K581" s="328"/>
      <c r="L581" s="317"/>
      <c r="M581" s="317"/>
      <c r="N581" s="317"/>
      <c r="O581" s="317"/>
      <c r="P581" s="317"/>
      <c r="Q581" s="317"/>
      <c r="R581" s="317"/>
      <c r="S581" s="317"/>
      <c r="T581" s="317"/>
    </row>
    <row r="582" ht="15.75" customHeight="1">
      <c r="A582" s="317"/>
      <c r="B582" s="318"/>
      <c r="C582" s="317"/>
      <c r="D582" s="317"/>
      <c r="E582" s="318"/>
      <c r="F582" s="318"/>
      <c r="G582" s="317"/>
      <c r="H582" s="327"/>
      <c r="I582" s="321"/>
      <c r="J582" s="328"/>
      <c r="K582" s="328"/>
      <c r="L582" s="317"/>
      <c r="M582" s="317"/>
      <c r="N582" s="317"/>
      <c r="O582" s="317"/>
      <c r="P582" s="317"/>
      <c r="Q582" s="317"/>
      <c r="R582" s="317"/>
      <c r="S582" s="317"/>
      <c r="T582" s="317"/>
    </row>
    <row r="583" ht="15.75" customHeight="1">
      <c r="A583" s="317"/>
      <c r="B583" s="318"/>
      <c r="C583" s="317"/>
      <c r="D583" s="317"/>
      <c r="E583" s="318"/>
      <c r="F583" s="318"/>
      <c r="G583" s="317"/>
      <c r="H583" s="327"/>
      <c r="I583" s="321"/>
      <c r="J583" s="328"/>
      <c r="K583" s="328"/>
      <c r="L583" s="317"/>
      <c r="M583" s="317"/>
      <c r="N583" s="317"/>
      <c r="O583" s="317"/>
      <c r="P583" s="317"/>
      <c r="Q583" s="317"/>
      <c r="R583" s="317"/>
      <c r="S583" s="317"/>
      <c r="T583" s="317"/>
    </row>
    <row r="584" ht="15.75" customHeight="1">
      <c r="A584" s="317"/>
      <c r="B584" s="318"/>
      <c r="C584" s="317"/>
      <c r="D584" s="317"/>
      <c r="E584" s="318"/>
      <c r="F584" s="318"/>
      <c r="G584" s="317"/>
      <c r="H584" s="327"/>
      <c r="I584" s="321"/>
      <c r="J584" s="328"/>
      <c r="K584" s="328"/>
      <c r="L584" s="317"/>
      <c r="M584" s="317"/>
      <c r="N584" s="317"/>
      <c r="O584" s="317"/>
      <c r="P584" s="317"/>
      <c r="Q584" s="317"/>
      <c r="R584" s="317"/>
      <c r="S584" s="317"/>
      <c r="T584" s="317"/>
    </row>
    <row r="585" ht="15.75" customHeight="1">
      <c r="A585" s="317"/>
      <c r="B585" s="318"/>
      <c r="C585" s="317"/>
      <c r="D585" s="317"/>
      <c r="E585" s="318"/>
      <c r="F585" s="318"/>
      <c r="G585" s="317"/>
      <c r="H585" s="327"/>
      <c r="I585" s="321"/>
      <c r="J585" s="328"/>
      <c r="K585" s="328"/>
      <c r="L585" s="317"/>
      <c r="M585" s="317"/>
      <c r="N585" s="317"/>
      <c r="O585" s="317"/>
      <c r="P585" s="317"/>
      <c r="Q585" s="317"/>
      <c r="R585" s="317"/>
      <c r="S585" s="317"/>
      <c r="T585" s="317"/>
    </row>
    <row r="586" ht="15.75" customHeight="1">
      <c r="A586" s="317"/>
      <c r="B586" s="318"/>
      <c r="C586" s="317"/>
      <c r="D586" s="317"/>
      <c r="E586" s="318"/>
      <c r="F586" s="318"/>
      <c r="G586" s="317"/>
      <c r="H586" s="327"/>
      <c r="I586" s="321"/>
      <c r="J586" s="328"/>
      <c r="K586" s="328"/>
      <c r="L586" s="317"/>
      <c r="M586" s="317"/>
      <c r="N586" s="317"/>
      <c r="O586" s="317"/>
      <c r="P586" s="317"/>
      <c r="Q586" s="317"/>
      <c r="R586" s="317"/>
      <c r="S586" s="317"/>
      <c r="T586" s="317"/>
    </row>
    <row r="587" ht="15.75" customHeight="1">
      <c r="A587" s="317"/>
      <c r="B587" s="318"/>
      <c r="C587" s="317"/>
      <c r="D587" s="317"/>
      <c r="E587" s="318"/>
      <c r="F587" s="318"/>
      <c r="G587" s="317"/>
      <c r="H587" s="327"/>
      <c r="I587" s="321"/>
      <c r="J587" s="328"/>
      <c r="K587" s="328"/>
      <c r="L587" s="317"/>
      <c r="M587" s="317"/>
      <c r="N587" s="317"/>
      <c r="O587" s="317"/>
      <c r="P587" s="317"/>
      <c r="Q587" s="317"/>
      <c r="R587" s="317"/>
      <c r="S587" s="317"/>
      <c r="T587" s="317"/>
    </row>
    <row r="588" ht="15.75" customHeight="1">
      <c r="A588" s="317"/>
      <c r="B588" s="318"/>
      <c r="C588" s="317"/>
      <c r="D588" s="317"/>
      <c r="E588" s="318"/>
      <c r="F588" s="318"/>
      <c r="G588" s="317"/>
      <c r="H588" s="327"/>
      <c r="I588" s="321"/>
      <c r="J588" s="328"/>
      <c r="K588" s="328"/>
      <c r="L588" s="317"/>
      <c r="M588" s="317"/>
      <c r="N588" s="317"/>
      <c r="O588" s="317"/>
      <c r="P588" s="317"/>
      <c r="Q588" s="317"/>
      <c r="R588" s="317"/>
      <c r="S588" s="317"/>
      <c r="T588" s="317"/>
    </row>
    <row r="589" ht="15.75" customHeight="1">
      <c r="A589" s="317"/>
      <c r="B589" s="318"/>
      <c r="C589" s="317"/>
      <c r="D589" s="317"/>
      <c r="E589" s="318"/>
      <c r="F589" s="318"/>
      <c r="G589" s="317"/>
      <c r="H589" s="327"/>
      <c r="I589" s="321"/>
      <c r="J589" s="328"/>
      <c r="K589" s="328"/>
      <c r="L589" s="317"/>
      <c r="M589" s="317"/>
      <c r="N589" s="317"/>
      <c r="O589" s="317"/>
      <c r="P589" s="317"/>
      <c r="Q589" s="317"/>
      <c r="R589" s="317"/>
      <c r="S589" s="317"/>
      <c r="T589" s="317"/>
    </row>
    <row r="590" ht="15.75" customHeight="1">
      <c r="A590" s="317"/>
      <c r="B590" s="318"/>
      <c r="C590" s="317"/>
      <c r="D590" s="317"/>
      <c r="E590" s="318"/>
      <c r="F590" s="318"/>
      <c r="G590" s="317"/>
      <c r="H590" s="327"/>
      <c r="I590" s="321"/>
      <c r="J590" s="328"/>
      <c r="K590" s="328"/>
      <c r="L590" s="317"/>
      <c r="M590" s="317"/>
      <c r="N590" s="317"/>
      <c r="O590" s="317"/>
      <c r="P590" s="317"/>
      <c r="Q590" s="317"/>
      <c r="R590" s="317"/>
      <c r="S590" s="317"/>
      <c r="T590" s="317"/>
    </row>
    <row r="591" ht="15.75" customHeight="1">
      <c r="A591" s="317"/>
      <c r="B591" s="318"/>
      <c r="C591" s="317"/>
      <c r="D591" s="317"/>
      <c r="E591" s="318"/>
      <c r="F591" s="318"/>
      <c r="G591" s="317"/>
      <c r="H591" s="327"/>
      <c r="I591" s="321"/>
      <c r="J591" s="328"/>
      <c r="K591" s="328"/>
      <c r="L591" s="317"/>
      <c r="M591" s="317"/>
      <c r="N591" s="317"/>
      <c r="O591" s="317"/>
      <c r="P591" s="317"/>
      <c r="Q591" s="317"/>
      <c r="R591" s="317"/>
      <c r="S591" s="317"/>
      <c r="T591" s="317"/>
    </row>
    <row r="592" ht="15.75" customHeight="1">
      <c r="A592" s="317"/>
      <c r="B592" s="318"/>
      <c r="C592" s="317"/>
      <c r="D592" s="317"/>
      <c r="E592" s="318"/>
      <c r="F592" s="318"/>
      <c r="G592" s="317"/>
      <c r="H592" s="327"/>
      <c r="I592" s="321"/>
      <c r="J592" s="328"/>
      <c r="K592" s="328"/>
      <c r="L592" s="317"/>
      <c r="M592" s="317"/>
      <c r="N592" s="317"/>
      <c r="O592" s="317"/>
      <c r="P592" s="317"/>
      <c r="Q592" s="317"/>
      <c r="R592" s="317"/>
      <c r="S592" s="317"/>
      <c r="T592" s="317"/>
    </row>
    <row r="593" ht="15.75" customHeight="1">
      <c r="A593" s="317"/>
      <c r="B593" s="318"/>
      <c r="C593" s="317"/>
      <c r="D593" s="317"/>
      <c r="E593" s="318"/>
      <c r="F593" s="318"/>
      <c r="G593" s="317"/>
      <c r="H593" s="327"/>
      <c r="I593" s="321"/>
      <c r="J593" s="328"/>
      <c r="K593" s="328"/>
      <c r="L593" s="317"/>
      <c r="M593" s="317"/>
      <c r="N593" s="317"/>
      <c r="O593" s="317"/>
      <c r="P593" s="317"/>
      <c r="Q593" s="317"/>
      <c r="R593" s="317"/>
      <c r="S593" s="317"/>
      <c r="T593" s="317"/>
    </row>
    <row r="594" ht="15.75" customHeight="1">
      <c r="A594" s="317"/>
      <c r="B594" s="318"/>
      <c r="C594" s="317"/>
      <c r="D594" s="317"/>
      <c r="E594" s="318"/>
      <c r="F594" s="318"/>
      <c r="G594" s="317"/>
      <c r="H594" s="327"/>
      <c r="I594" s="321"/>
      <c r="J594" s="328"/>
      <c r="K594" s="328"/>
      <c r="L594" s="317"/>
      <c r="M594" s="317"/>
      <c r="N594" s="317"/>
      <c r="O594" s="317"/>
      <c r="P594" s="317"/>
      <c r="Q594" s="317"/>
      <c r="R594" s="317"/>
      <c r="S594" s="317"/>
      <c r="T594" s="317"/>
    </row>
    <row r="595" ht="15.75" customHeight="1">
      <c r="A595" s="317"/>
      <c r="B595" s="318"/>
      <c r="C595" s="317"/>
      <c r="D595" s="317"/>
      <c r="E595" s="318"/>
      <c r="F595" s="318"/>
      <c r="G595" s="317"/>
      <c r="H595" s="327"/>
      <c r="I595" s="321"/>
      <c r="J595" s="328"/>
      <c r="K595" s="328"/>
      <c r="L595" s="317"/>
      <c r="M595" s="317"/>
      <c r="N595" s="317"/>
      <c r="O595" s="317"/>
      <c r="P595" s="317"/>
      <c r="Q595" s="317"/>
      <c r="R595" s="317"/>
      <c r="S595" s="317"/>
      <c r="T595" s="317"/>
    </row>
    <row r="596" ht="15.75" customHeight="1">
      <c r="A596" s="317"/>
      <c r="B596" s="318"/>
      <c r="C596" s="317"/>
      <c r="D596" s="317"/>
      <c r="E596" s="318"/>
      <c r="F596" s="318"/>
      <c r="G596" s="317"/>
      <c r="H596" s="327"/>
      <c r="I596" s="321"/>
      <c r="J596" s="328"/>
      <c r="K596" s="328"/>
      <c r="L596" s="317"/>
      <c r="M596" s="317"/>
      <c r="N596" s="317"/>
      <c r="O596" s="317"/>
      <c r="P596" s="317"/>
      <c r="Q596" s="317"/>
      <c r="R596" s="317"/>
      <c r="S596" s="317"/>
      <c r="T596" s="317"/>
    </row>
    <row r="597" ht="15.75" customHeight="1">
      <c r="A597" s="317"/>
      <c r="B597" s="318"/>
      <c r="C597" s="317"/>
      <c r="D597" s="317"/>
      <c r="E597" s="318"/>
      <c r="F597" s="318"/>
      <c r="G597" s="317"/>
      <c r="H597" s="327"/>
      <c r="I597" s="321"/>
      <c r="J597" s="328"/>
      <c r="K597" s="328"/>
      <c r="L597" s="317"/>
      <c r="M597" s="317"/>
      <c r="N597" s="317"/>
      <c r="O597" s="317"/>
      <c r="P597" s="317"/>
      <c r="Q597" s="317"/>
      <c r="R597" s="317"/>
      <c r="S597" s="317"/>
      <c r="T597" s="317"/>
    </row>
    <row r="598" ht="15.75" customHeight="1">
      <c r="A598" s="317"/>
      <c r="B598" s="318"/>
      <c r="C598" s="317"/>
      <c r="D598" s="317"/>
      <c r="E598" s="318"/>
      <c r="F598" s="318"/>
      <c r="G598" s="317"/>
      <c r="H598" s="327"/>
      <c r="I598" s="321"/>
      <c r="J598" s="328"/>
      <c r="K598" s="328"/>
      <c r="L598" s="317"/>
      <c r="M598" s="317"/>
      <c r="N598" s="317"/>
      <c r="O598" s="317"/>
      <c r="P598" s="317"/>
      <c r="Q598" s="317"/>
      <c r="R598" s="317"/>
      <c r="S598" s="317"/>
      <c r="T598" s="317"/>
    </row>
    <row r="599" ht="15.75" customHeight="1">
      <c r="A599" s="317"/>
      <c r="B599" s="318"/>
      <c r="C599" s="317"/>
      <c r="D599" s="317"/>
      <c r="E599" s="318"/>
      <c r="F599" s="318"/>
      <c r="G599" s="317"/>
      <c r="H599" s="327"/>
      <c r="I599" s="321"/>
      <c r="J599" s="328"/>
      <c r="K599" s="328"/>
      <c r="L599" s="317"/>
      <c r="M599" s="317"/>
      <c r="N599" s="317"/>
      <c r="O599" s="317"/>
      <c r="P599" s="317"/>
      <c r="Q599" s="317"/>
      <c r="R599" s="317"/>
      <c r="S599" s="317"/>
      <c r="T599" s="317"/>
    </row>
    <row r="600" ht="15.75" customHeight="1">
      <c r="A600" s="317"/>
      <c r="B600" s="318"/>
      <c r="C600" s="317"/>
      <c r="D600" s="317"/>
      <c r="E600" s="318"/>
      <c r="F600" s="318"/>
      <c r="G600" s="317"/>
      <c r="H600" s="327"/>
      <c r="I600" s="321"/>
      <c r="J600" s="328"/>
      <c r="K600" s="328"/>
      <c r="L600" s="317"/>
      <c r="M600" s="317"/>
      <c r="N600" s="317"/>
      <c r="O600" s="317"/>
      <c r="P600" s="317"/>
      <c r="Q600" s="317"/>
      <c r="R600" s="317"/>
      <c r="S600" s="317"/>
      <c r="T600" s="317"/>
    </row>
    <row r="601" ht="15.75" customHeight="1">
      <c r="A601" s="317"/>
      <c r="B601" s="318"/>
      <c r="C601" s="317"/>
      <c r="D601" s="317"/>
      <c r="E601" s="318"/>
      <c r="F601" s="318"/>
      <c r="G601" s="317"/>
      <c r="H601" s="327"/>
      <c r="I601" s="321"/>
      <c r="J601" s="328"/>
      <c r="K601" s="328"/>
      <c r="L601" s="317"/>
      <c r="M601" s="317"/>
      <c r="N601" s="317"/>
      <c r="O601" s="317"/>
      <c r="P601" s="317"/>
      <c r="Q601" s="317"/>
      <c r="R601" s="317"/>
      <c r="S601" s="317"/>
      <c r="T601" s="317"/>
    </row>
    <row r="602" ht="15.75" customHeight="1">
      <c r="A602" s="317"/>
      <c r="B602" s="318"/>
      <c r="C602" s="317"/>
      <c r="D602" s="317"/>
      <c r="E602" s="318"/>
      <c r="F602" s="318"/>
      <c r="G602" s="317"/>
      <c r="H602" s="327"/>
      <c r="I602" s="321"/>
      <c r="J602" s="328"/>
      <c r="K602" s="328"/>
      <c r="L602" s="317"/>
      <c r="M602" s="317"/>
      <c r="N602" s="317"/>
      <c r="O602" s="317"/>
      <c r="P602" s="317"/>
      <c r="Q602" s="317"/>
      <c r="R602" s="317"/>
      <c r="S602" s="317"/>
      <c r="T602" s="317"/>
    </row>
    <row r="603" ht="15.75" customHeight="1">
      <c r="A603" s="317"/>
      <c r="B603" s="318"/>
      <c r="C603" s="317"/>
      <c r="D603" s="317"/>
      <c r="E603" s="318"/>
      <c r="F603" s="318"/>
      <c r="G603" s="317"/>
      <c r="H603" s="327"/>
      <c r="I603" s="321"/>
      <c r="J603" s="328"/>
      <c r="K603" s="328"/>
      <c r="L603" s="317"/>
      <c r="M603" s="317"/>
      <c r="N603" s="317"/>
      <c r="O603" s="317"/>
      <c r="P603" s="317"/>
      <c r="Q603" s="317"/>
      <c r="R603" s="317"/>
      <c r="S603" s="317"/>
      <c r="T603" s="317"/>
    </row>
    <row r="604" ht="15.75" customHeight="1">
      <c r="A604" s="317"/>
      <c r="B604" s="318"/>
      <c r="C604" s="317"/>
      <c r="D604" s="317"/>
      <c r="E604" s="318"/>
      <c r="F604" s="318"/>
      <c r="G604" s="317"/>
      <c r="H604" s="327"/>
      <c r="I604" s="321"/>
      <c r="J604" s="328"/>
      <c r="K604" s="328"/>
      <c r="L604" s="317"/>
      <c r="M604" s="317"/>
      <c r="N604" s="317"/>
      <c r="O604" s="317"/>
      <c r="P604" s="317"/>
      <c r="Q604" s="317"/>
      <c r="R604" s="317"/>
      <c r="S604" s="317"/>
      <c r="T604" s="317"/>
    </row>
    <row r="605" ht="15.75" customHeight="1">
      <c r="A605" s="317"/>
      <c r="B605" s="318"/>
      <c r="C605" s="317"/>
      <c r="D605" s="317"/>
      <c r="E605" s="318"/>
      <c r="F605" s="318"/>
      <c r="G605" s="317"/>
      <c r="H605" s="327"/>
      <c r="I605" s="321"/>
      <c r="J605" s="328"/>
      <c r="K605" s="328"/>
      <c r="L605" s="317"/>
      <c r="M605" s="317"/>
      <c r="N605" s="317"/>
      <c r="O605" s="317"/>
      <c r="P605" s="317"/>
      <c r="Q605" s="317"/>
      <c r="R605" s="317"/>
      <c r="S605" s="317"/>
      <c r="T605" s="317"/>
    </row>
    <row r="606" ht="15.75" customHeight="1">
      <c r="A606" s="317"/>
      <c r="B606" s="318"/>
      <c r="C606" s="317"/>
      <c r="D606" s="317"/>
      <c r="E606" s="318"/>
      <c r="F606" s="318"/>
      <c r="G606" s="317"/>
      <c r="H606" s="327"/>
      <c r="I606" s="321"/>
      <c r="J606" s="328"/>
      <c r="K606" s="328"/>
      <c r="L606" s="317"/>
      <c r="M606" s="317"/>
      <c r="N606" s="317"/>
      <c r="O606" s="317"/>
      <c r="P606" s="317"/>
      <c r="Q606" s="317"/>
      <c r="R606" s="317"/>
      <c r="S606" s="317"/>
      <c r="T606" s="317"/>
    </row>
    <row r="607" ht="15.75" customHeight="1">
      <c r="A607" s="317"/>
      <c r="B607" s="318"/>
      <c r="C607" s="317"/>
      <c r="D607" s="317"/>
      <c r="E607" s="318"/>
      <c r="F607" s="318"/>
      <c r="G607" s="317"/>
      <c r="H607" s="327"/>
      <c r="I607" s="321"/>
      <c r="J607" s="328"/>
      <c r="K607" s="328"/>
      <c r="L607" s="317"/>
      <c r="M607" s="317"/>
      <c r="N607" s="317"/>
      <c r="O607" s="317"/>
      <c r="P607" s="317"/>
      <c r="Q607" s="317"/>
      <c r="R607" s="317"/>
      <c r="S607" s="317"/>
      <c r="T607" s="317"/>
    </row>
    <row r="608" ht="15.75" customHeight="1">
      <c r="A608" s="317"/>
      <c r="B608" s="318"/>
      <c r="C608" s="317"/>
      <c r="D608" s="317"/>
      <c r="E608" s="318"/>
      <c r="F608" s="318"/>
      <c r="G608" s="317"/>
      <c r="H608" s="327"/>
      <c r="I608" s="321"/>
      <c r="J608" s="328"/>
      <c r="K608" s="328"/>
      <c r="L608" s="317"/>
      <c r="M608" s="317"/>
      <c r="N608" s="317"/>
      <c r="O608" s="317"/>
      <c r="P608" s="317"/>
      <c r="Q608" s="317"/>
      <c r="R608" s="317"/>
      <c r="S608" s="317"/>
      <c r="T608" s="317"/>
    </row>
    <row r="609" ht="15.75" customHeight="1">
      <c r="A609" s="317"/>
      <c r="B609" s="318"/>
      <c r="C609" s="317"/>
      <c r="D609" s="317"/>
      <c r="E609" s="318"/>
      <c r="F609" s="318"/>
      <c r="G609" s="317"/>
      <c r="H609" s="327"/>
      <c r="I609" s="321"/>
      <c r="J609" s="328"/>
      <c r="K609" s="328"/>
      <c r="L609" s="317"/>
      <c r="M609" s="317"/>
      <c r="N609" s="317"/>
      <c r="O609" s="317"/>
      <c r="P609" s="317"/>
      <c r="Q609" s="317"/>
      <c r="R609" s="317"/>
      <c r="S609" s="317"/>
      <c r="T609" s="317"/>
    </row>
    <row r="610" ht="15.75" customHeight="1">
      <c r="A610" s="317"/>
      <c r="B610" s="318"/>
      <c r="C610" s="317"/>
      <c r="D610" s="317"/>
      <c r="E610" s="318"/>
      <c r="F610" s="318"/>
      <c r="G610" s="317"/>
      <c r="H610" s="327"/>
      <c r="I610" s="321"/>
      <c r="J610" s="328"/>
      <c r="K610" s="328"/>
      <c r="L610" s="317"/>
      <c r="M610" s="317"/>
      <c r="N610" s="317"/>
      <c r="O610" s="317"/>
      <c r="P610" s="317"/>
      <c r="Q610" s="317"/>
      <c r="R610" s="317"/>
      <c r="S610" s="317"/>
      <c r="T610" s="317"/>
    </row>
    <row r="611" ht="15.75" customHeight="1">
      <c r="A611" s="317"/>
      <c r="B611" s="318"/>
      <c r="C611" s="317"/>
      <c r="D611" s="317"/>
      <c r="E611" s="318"/>
      <c r="F611" s="318"/>
      <c r="G611" s="317"/>
      <c r="H611" s="327"/>
      <c r="I611" s="321"/>
      <c r="J611" s="328"/>
      <c r="K611" s="328"/>
      <c r="L611" s="317"/>
      <c r="M611" s="317"/>
      <c r="N611" s="317"/>
      <c r="O611" s="317"/>
      <c r="P611" s="317"/>
      <c r="Q611" s="317"/>
      <c r="R611" s="317"/>
      <c r="S611" s="317"/>
      <c r="T611" s="317"/>
    </row>
    <row r="612" ht="15.75" customHeight="1">
      <c r="A612" s="317"/>
      <c r="B612" s="318"/>
      <c r="C612" s="317"/>
      <c r="D612" s="317"/>
      <c r="E612" s="318"/>
      <c r="F612" s="318"/>
      <c r="G612" s="317"/>
      <c r="H612" s="327"/>
      <c r="I612" s="321"/>
      <c r="J612" s="328"/>
      <c r="K612" s="328"/>
      <c r="L612" s="317"/>
      <c r="M612" s="317"/>
      <c r="N612" s="317"/>
      <c r="O612" s="317"/>
      <c r="P612" s="317"/>
      <c r="Q612" s="317"/>
      <c r="R612" s="317"/>
      <c r="S612" s="317"/>
      <c r="T612" s="317"/>
    </row>
    <row r="613" ht="15.75" customHeight="1">
      <c r="A613" s="317"/>
      <c r="B613" s="318"/>
      <c r="C613" s="317"/>
      <c r="D613" s="317"/>
      <c r="E613" s="318"/>
      <c r="F613" s="318"/>
      <c r="G613" s="317"/>
      <c r="H613" s="327"/>
      <c r="I613" s="321"/>
      <c r="J613" s="328"/>
      <c r="K613" s="328"/>
      <c r="L613" s="317"/>
      <c r="M613" s="317"/>
      <c r="N613" s="317"/>
      <c r="O613" s="317"/>
      <c r="P613" s="317"/>
      <c r="Q613" s="317"/>
      <c r="R613" s="317"/>
      <c r="S613" s="317"/>
      <c r="T613" s="317"/>
    </row>
    <row r="614" ht="15.75" customHeight="1">
      <c r="A614" s="317"/>
      <c r="B614" s="318"/>
      <c r="C614" s="317"/>
      <c r="D614" s="317"/>
      <c r="E614" s="318"/>
      <c r="F614" s="318"/>
      <c r="G614" s="317"/>
      <c r="H614" s="327"/>
      <c r="I614" s="321"/>
      <c r="J614" s="328"/>
      <c r="K614" s="328"/>
      <c r="L614" s="317"/>
      <c r="M614" s="317"/>
      <c r="N614" s="317"/>
      <c r="O614" s="317"/>
      <c r="P614" s="317"/>
      <c r="Q614" s="317"/>
      <c r="R614" s="317"/>
      <c r="S614" s="317"/>
      <c r="T614" s="317"/>
    </row>
    <row r="615" ht="15.75" customHeight="1">
      <c r="A615" s="317"/>
      <c r="B615" s="318"/>
      <c r="C615" s="317"/>
      <c r="D615" s="317"/>
      <c r="E615" s="318"/>
      <c r="F615" s="318"/>
      <c r="G615" s="317"/>
      <c r="H615" s="327"/>
      <c r="I615" s="321"/>
      <c r="J615" s="328"/>
      <c r="K615" s="328"/>
      <c r="L615" s="317"/>
      <c r="M615" s="317"/>
      <c r="N615" s="317"/>
      <c r="O615" s="317"/>
      <c r="P615" s="317"/>
      <c r="Q615" s="317"/>
      <c r="R615" s="317"/>
      <c r="S615" s="317"/>
      <c r="T615" s="317"/>
    </row>
    <row r="616" ht="15.75" customHeight="1">
      <c r="A616" s="317"/>
      <c r="B616" s="318"/>
      <c r="C616" s="317"/>
      <c r="D616" s="317"/>
      <c r="E616" s="318"/>
      <c r="F616" s="318"/>
      <c r="G616" s="317"/>
      <c r="H616" s="327"/>
      <c r="I616" s="321"/>
      <c r="J616" s="328"/>
      <c r="K616" s="328"/>
      <c r="L616" s="317"/>
      <c r="M616" s="317"/>
      <c r="N616" s="317"/>
      <c r="O616" s="317"/>
      <c r="P616" s="317"/>
      <c r="Q616" s="317"/>
      <c r="R616" s="317"/>
      <c r="S616" s="317"/>
      <c r="T616" s="317"/>
    </row>
    <row r="617" ht="15.75" customHeight="1">
      <c r="A617" s="317"/>
      <c r="B617" s="318"/>
      <c r="C617" s="317"/>
      <c r="D617" s="317"/>
      <c r="E617" s="318"/>
      <c r="F617" s="318"/>
      <c r="G617" s="317"/>
      <c r="H617" s="327"/>
      <c r="I617" s="321"/>
      <c r="J617" s="328"/>
      <c r="K617" s="328"/>
      <c r="L617" s="317"/>
      <c r="M617" s="317"/>
      <c r="N617" s="317"/>
      <c r="O617" s="317"/>
      <c r="P617" s="317"/>
      <c r="Q617" s="317"/>
      <c r="R617" s="317"/>
      <c r="S617" s="317"/>
      <c r="T617" s="317"/>
    </row>
    <row r="618" ht="15.75" customHeight="1">
      <c r="A618" s="317"/>
      <c r="B618" s="318"/>
      <c r="C618" s="317"/>
      <c r="D618" s="317"/>
      <c r="E618" s="318"/>
      <c r="F618" s="318"/>
      <c r="G618" s="317"/>
      <c r="H618" s="327"/>
      <c r="I618" s="321"/>
      <c r="J618" s="328"/>
      <c r="K618" s="328"/>
      <c r="L618" s="317"/>
      <c r="M618" s="317"/>
      <c r="N618" s="317"/>
      <c r="O618" s="317"/>
      <c r="P618" s="317"/>
      <c r="Q618" s="317"/>
      <c r="R618" s="317"/>
      <c r="S618" s="317"/>
      <c r="T618" s="317"/>
    </row>
    <row r="619" ht="15.75" customHeight="1">
      <c r="A619" s="317"/>
      <c r="B619" s="318"/>
      <c r="C619" s="317"/>
      <c r="D619" s="317"/>
      <c r="E619" s="318"/>
      <c r="F619" s="318"/>
      <c r="G619" s="317"/>
      <c r="H619" s="327"/>
      <c r="I619" s="321"/>
      <c r="J619" s="328"/>
      <c r="K619" s="328"/>
      <c r="L619" s="317"/>
      <c r="M619" s="317"/>
      <c r="N619" s="317"/>
      <c r="O619" s="317"/>
      <c r="P619" s="317"/>
      <c r="Q619" s="317"/>
      <c r="R619" s="317"/>
      <c r="S619" s="317"/>
      <c r="T619" s="317"/>
    </row>
    <row r="620" ht="15.75" customHeight="1">
      <c r="A620" s="317"/>
      <c r="B620" s="318"/>
      <c r="C620" s="317"/>
      <c r="D620" s="317"/>
      <c r="E620" s="318"/>
      <c r="F620" s="318"/>
      <c r="G620" s="317"/>
      <c r="H620" s="327"/>
      <c r="I620" s="321"/>
      <c r="J620" s="328"/>
      <c r="K620" s="328"/>
      <c r="L620" s="317"/>
      <c r="M620" s="317"/>
      <c r="N620" s="317"/>
      <c r="O620" s="317"/>
      <c r="P620" s="317"/>
      <c r="Q620" s="317"/>
      <c r="R620" s="317"/>
      <c r="S620" s="317"/>
      <c r="T620" s="317"/>
    </row>
    <row r="621" ht="15.75" customHeight="1">
      <c r="A621" s="317"/>
      <c r="B621" s="318"/>
      <c r="C621" s="317"/>
      <c r="D621" s="317"/>
      <c r="E621" s="318"/>
      <c r="F621" s="318"/>
      <c r="G621" s="317"/>
      <c r="H621" s="327"/>
      <c r="I621" s="321"/>
      <c r="J621" s="328"/>
      <c r="K621" s="328"/>
      <c r="L621" s="317"/>
      <c r="M621" s="317"/>
      <c r="N621" s="317"/>
      <c r="O621" s="317"/>
      <c r="P621" s="317"/>
      <c r="Q621" s="317"/>
      <c r="R621" s="317"/>
      <c r="S621" s="317"/>
      <c r="T621" s="317"/>
    </row>
    <row r="622" ht="15.75" customHeight="1">
      <c r="A622" s="317"/>
      <c r="B622" s="318"/>
      <c r="C622" s="317"/>
      <c r="D622" s="317"/>
      <c r="E622" s="318"/>
      <c r="F622" s="318"/>
      <c r="G622" s="317"/>
      <c r="H622" s="327"/>
      <c r="I622" s="321"/>
      <c r="J622" s="328"/>
      <c r="K622" s="328"/>
      <c r="L622" s="317"/>
      <c r="M622" s="317"/>
      <c r="N622" s="317"/>
      <c r="O622" s="317"/>
      <c r="P622" s="317"/>
      <c r="Q622" s="317"/>
      <c r="R622" s="317"/>
      <c r="S622" s="317"/>
      <c r="T622" s="317"/>
    </row>
    <row r="623" ht="15.75" customHeight="1">
      <c r="A623" s="317"/>
      <c r="B623" s="318"/>
      <c r="C623" s="317"/>
      <c r="D623" s="317"/>
      <c r="E623" s="318"/>
      <c r="F623" s="318"/>
      <c r="G623" s="317"/>
      <c r="H623" s="327"/>
      <c r="I623" s="321"/>
      <c r="J623" s="328"/>
      <c r="K623" s="328"/>
      <c r="L623" s="317"/>
      <c r="M623" s="317"/>
      <c r="N623" s="317"/>
      <c r="O623" s="317"/>
      <c r="P623" s="317"/>
      <c r="Q623" s="317"/>
      <c r="R623" s="317"/>
      <c r="S623" s="317"/>
      <c r="T623" s="317"/>
    </row>
    <row r="624" ht="15.75" customHeight="1">
      <c r="A624" s="317"/>
      <c r="B624" s="318"/>
      <c r="C624" s="317"/>
      <c r="D624" s="317"/>
      <c r="E624" s="318"/>
      <c r="F624" s="318"/>
      <c r="G624" s="317"/>
      <c r="H624" s="327"/>
      <c r="I624" s="321"/>
      <c r="J624" s="328"/>
      <c r="K624" s="328"/>
      <c r="L624" s="317"/>
      <c r="M624" s="317"/>
      <c r="N624" s="317"/>
      <c r="O624" s="317"/>
      <c r="P624" s="317"/>
      <c r="Q624" s="317"/>
      <c r="R624" s="317"/>
      <c r="S624" s="317"/>
      <c r="T624" s="317"/>
    </row>
    <row r="625" ht="15.75" customHeight="1">
      <c r="A625" s="317"/>
      <c r="B625" s="318"/>
      <c r="C625" s="317"/>
      <c r="D625" s="317"/>
      <c r="E625" s="318"/>
      <c r="F625" s="318"/>
      <c r="G625" s="317"/>
      <c r="H625" s="327"/>
      <c r="I625" s="321"/>
      <c r="J625" s="328"/>
      <c r="K625" s="328"/>
      <c r="L625" s="317"/>
      <c r="M625" s="317"/>
      <c r="N625" s="317"/>
      <c r="O625" s="317"/>
      <c r="P625" s="317"/>
      <c r="Q625" s="317"/>
      <c r="R625" s="317"/>
      <c r="S625" s="317"/>
      <c r="T625" s="317"/>
    </row>
    <row r="626" ht="15.75" customHeight="1">
      <c r="A626" s="317"/>
      <c r="B626" s="318"/>
      <c r="C626" s="317"/>
      <c r="D626" s="317"/>
      <c r="E626" s="318"/>
      <c r="F626" s="318"/>
      <c r="G626" s="317"/>
      <c r="H626" s="327"/>
      <c r="I626" s="321"/>
      <c r="J626" s="328"/>
      <c r="K626" s="328"/>
      <c r="L626" s="317"/>
      <c r="M626" s="317"/>
      <c r="N626" s="317"/>
      <c r="O626" s="317"/>
      <c r="P626" s="317"/>
      <c r="Q626" s="317"/>
      <c r="R626" s="317"/>
      <c r="S626" s="317"/>
      <c r="T626" s="317"/>
    </row>
    <row r="627" ht="15.75" customHeight="1">
      <c r="A627" s="317"/>
      <c r="B627" s="318"/>
      <c r="C627" s="317"/>
      <c r="D627" s="317"/>
      <c r="E627" s="318"/>
      <c r="F627" s="318"/>
      <c r="G627" s="317"/>
      <c r="H627" s="327"/>
      <c r="I627" s="321"/>
      <c r="J627" s="328"/>
      <c r="K627" s="328"/>
      <c r="L627" s="317"/>
      <c r="M627" s="317"/>
      <c r="N627" s="317"/>
      <c r="O627" s="317"/>
      <c r="P627" s="317"/>
      <c r="Q627" s="317"/>
      <c r="R627" s="317"/>
      <c r="S627" s="317"/>
      <c r="T627" s="317"/>
    </row>
    <row r="628" ht="15.75" customHeight="1">
      <c r="A628" s="317"/>
      <c r="B628" s="318"/>
      <c r="C628" s="317"/>
      <c r="D628" s="317"/>
      <c r="E628" s="318"/>
      <c r="F628" s="318"/>
      <c r="G628" s="317"/>
      <c r="H628" s="327"/>
      <c r="I628" s="321"/>
      <c r="J628" s="328"/>
      <c r="K628" s="328"/>
      <c r="L628" s="317"/>
      <c r="M628" s="317"/>
      <c r="N628" s="317"/>
      <c r="O628" s="317"/>
      <c r="P628" s="317"/>
      <c r="Q628" s="317"/>
      <c r="R628" s="317"/>
      <c r="S628" s="317"/>
      <c r="T628" s="317"/>
    </row>
    <row r="629" ht="15.75" customHeight="1">
      <c r="A629" s="317"/>
      <c r="B629" s="318"/>
      <c r="C629" s="317"/>
      <c r="D629" s="317"/>
      <c r="E629" s="318"/>
      <c r="F629" s="318"/>
      <c r="G629" s="317"/>
      <c r="H629" s="327"/>
      <c r="I629" s="321"/>
      <c r="J629" s="328"/>
      <c r="K629" s="328"/>
      <c r="L629" s="317"/>
      <c r="M629" s="317"/>
      <c r="N629" s="317"/>
      <c r="O629" s="317"/>
      <c r="P629" s="317"/>
      <c r="Q629" s="317"/>
      <c r="R629" s="317"/>
      <c r="S629" s="317"/>
      <c r="T629" s="317"/>
    </row>
    <row r="630" ht="15.75" customHeight="1">
      <c r="A630" s="317"/>
      <c r="B630" s="318"/>
      <c r="C630" s="317"/>
      <c r="D630" s="317"/>
      <c r="E630" s="318"/>
      <c r="F630" s="318"/>
      <c r="G630" s="317"/>
      <c r="H630" s="327"/>
      <c r="I630" s="321"/>
      <c r="J630" s="328"/>
      <c r="K630" s="328"/>
      <c r="L630" s="317"/>
      <c r="M630" s="317"/>
      <c r="N630" s="317"/>
      <c r="O630" s="317"/>
      <c r="P630" s="317"/>
      <c r="Q630" s="317"/>
      <c r="R630" s="317"/>
      <c r="S630" s="317"/>
      <c r="T630" s="317"/>
    </row>
    <row r="631" ht="15.75" customHeight="1">
      <c r="A631" s="317"/>
      <c r="B631" s="318"/>
      <c r="C631" s="317"/>
      <c r="D631" s="317"/>
      <c r="E631" s="318"/>
      <c r="F631" s="318"/>
      <c r="G631" s="317"/>
      <c r="H631" s="327"/>
      <c r="I631" s="321"/>
      <c r="J631" s="328"/>
      <c r="K631" s="328"/>
      <c r="L631" s="317"/>
      <c r="M631" s="317"/>
      <c r="N631" s="317"/>
      <c r="O631" s="317"/>
      <c r="P631" s="317"/>
      <c r="Q631" s="317"/>
      <c r="R631" s="317"/>
      <c r="S631" s="317"/>
      <c r="T631" s="317"/>
    </row>
    <row r="632" ht="15.75" customHeight="1">
      <c r="A632" s="317"/>
      <c r="B632" s="318"/>
      <c r="C632" s="317"/>
      <c r="D632" s="317"/>
      <c r="E632" s="318"/>
      <c r="F632" s="318"/>
      <c r="G632" s="317"/>
      <c r="H632" s="327"/>
      <c r="I632" s="321"/>
      <c r="J632" s="328"/>
      <c r="K632" s="328"/>
      <c r="L632" s="317"/>
      <c r="M632" s="317"/>
      <c r="N632" s="317"/>
      <c r="O632" s="317"/>
      <c r="P632" s="317"/>
      <c r="Q632" s="317"/>
      <c r="R632" s="317"/>
      <c r="S632" s="317"/>
      <c r="T632" s="317"/>
    </row>
    <row r="633" ht="15.75" customHeight="1">
      <c r="A633" s="317"/>
      <c r="B633" s="318"/>
      <c r="C633" s="317"/>
      <c r="D633" s="317"/>
      <c r="E633" s="318"/>
      <c r="F633" s="318"/>
      <c r="G633" s="317"/>
      <c r="H633" s="327"/>
      <c r="I633" s="321"/>
      <c r="J633" s="328"/>
      <c r="K633" s="328"/>
      <c r="L633" s="317"/>
      <c r="M633" s="317"/>
      <c r="N633" s="317"/>
      <c r="O633" s="317"/>
      <c r="P633" s="317"/>
      <c r="Q633" s="317"/>
      <c r="R633" s="317"/>
      <c r="S633" s="317"/>
      <c r="T633" s="317"/>
    </row>
    <row r="634" ht="15.75" customHeight="1">
      <c r="A634" s="317"/>
      <c r="B634" s="318"/>
      <c r="C634" s="317"/>
      <c r="D634" s="317"/>
      <c r="E634" s="318"/>
      <c r="F634" s="318"/>
      <c r="G634" s="317"/>
      <c r="H634" s="327"/>
      <c r="I634" s="321"/>
      <c r="J634" s="328"/>
      <c r="K634" s="328"/>
      <c r="L634" s="317"/>
      <c r="M634" s="317"/>
      <c r="N634" s="317"/>
      <c r="O634" s="317"/>
      <c r="P634" s="317"/>
      <c r="Q634" s="317"/>
      <c r="R634" s="317"/>
      <c r="S634" s="317"/>
      <c r="T634" s="317"/>
    </row>
    <row r="635" ht="15.75" customHeight="1">
      <c r="A635" s="317"/>
      <c r="B635" s="318"/>
      <c r="C635" s="317"/>
      <c r="D635" s="317"/>
      <c r="E635" s="318"/>
      <c r="F635" s="318"/>
      <c r="G635" s="317"/>
      <c r="H635" s="327"/>
      <c r="I635" s="321"/>
      <c r="J635" s="328"/>
      <c r="K635" s="328"/>
      <c r="L635" s="317"/>
      <c r="M635" s="317"/>
      <c r="N635" s="317"/>
      <c r="O635" s="317"/>
      <c r="P635" s="317"/>
      <c r="Q635" s="317"/>
      <c r="R635" s="317"/>
      <c r="S635" s="317"/>
      <c r="T635" s="317"/>
    </row>
    <row r="636" ht="15.75" customHeight="1">
      <c r="A636" s="317"/>
      <c r="B636" s="318"/>
      <c r="C636" s="317"/>
      <c r="D636" s="317"/>
      <c r="E636" s="318"/>
      <c r="F636" s="318"/>
      <c r="G636" s="317"/>
      <c r="H636" s="327"/>
      <c r="I636" s="321"/>
      <c r="J636" s="328"/>
      <c r="K636" s="328"/>
      <c r="L636" s="317"/>
      <c r="M636" s="317"/>
      <c r="N636" s="317"/>
      <c r="O636" s="317"/>
      <c r="P636" s="317"/>
      <c r="Q636" s="317"/>
      <c r="R636" s="317"/>
      <c r="S636" s="317"/>
      <c r="T636" s="317"/>
    </row>
    <row r="637" ht="15.75" customHeight="1">
      <c r="A637" s="317"/>
      <c r="B637" s="318"/>
      <c r="C637" s="317"/>
      <c r="D637" s="317"/>
      <c r="E637" s="318"/>
      <c r="F637" s="318"/>
      <c r="G637" s="317"/>
      <c r="H637" s="327"/>
      <c r="I637" s="321"/>
      <c r="J637" s="328"/>
      <c r="K637" s="328"/>
      <c r="L637" s="317"/>
      <c r="M637" s="317"/>
      <c r="N637" s="317"/>
      <c r="O637" s="317"/>
      <c r="P637" s="317"/>
      <c r="Q637" s="317"/>
      <c r="R637" s="317"/>
      <c r="S637" s="317"/>
      <c r="T637" s="317"/>
    </row>
    <row r="638" ht="15.75" customHeight="1">
      <c r="A638" s="317"/>
      <c r="B638" s="318"/>
      <c r="C638" s="317"/>
      <c r="D638" s="317"/>
      <c r="E638" s="318"/>
      <c r="F638" s="318"/>
      <c r="G638" s="317"/>
      <c r="H638" s="327"/>
      <c r="I638" s="321"/>
      <c r="J638" s="328"/>
      <c r="K638" s="328"/>
      <c r="L638" s="317"/>
      <c r="M638" s="317"/>
      <c r="N638" s="317"/>
      <c r="O638" s="317"/>
      <c r="P638" s="317"/>
      <c r="Q638" s="317"/>
      <c r="R638" s="317"/>
      <c r="S638" s="317"/>
      <c r="T638" s="317"/>
    </row>
    <row r="639" ht="15.75" customHeight="1">
      <c r="A639" s="317"/>
      <c r="B639" s="318"/>
      <c r="C639" s="317"/>
      <c r="D639" s="317"/>
      <c r="E639" s="318"/>
      <c r="F639" s="318"/>
      <c r="G639" s="317"/>
      <c r="H639" s="327"/>
      <c r="I639" s="321"/>
      <c r="J639" s="328"/>
      <c r="K639" s="328"/>
      <c r="L639" s="317"/>
      <c r="M639" s="317"/>
      <c r="N639" s="317"/>
      <c r="O639" s="317"/>
      <c r="P639" s="317"/>
      <c r="Q639" s="317"/>
      <c r="R639" s="317"/>
      <c r="S639" s="317"/>
      <c r="T639" s="317"/>
    </row>
    <row r="640" ht="15.75" customHeight="1">
      <c r="A640" s="317"/>
      <c r="B640" s="318"/>
      <c r="C640" s="317"/>
      <c r="D640" s="317"/>
      <c r="E640" s="318"/>
      <c r="F640" s="318"/>
      <c r="G640" s="317"/>
      <c r="H640" s="327"/>
      <c r="I640" s="321"/>
      <c r="J640" s="328"/>
      <c r="K640" s="328"/>
      <c r="L640" s="317"/>
      <c r="M640" s="317"/>
      <c r="N640" s="317"/>
      <c r="O640" s="317"/>
      <c r="P640" s="317"/>
      <c r="Q640" s="317"/>
      <c r="R640" s="317"/>
      <c r="S640" s="317"/>
      <c r="T640" s="317"/>
    </row>
    <row r="641" ht="15.75" customHeight="1">
      <c r="A641" s="317"/>
      <c r="B641" s="318"/>
      <c r="C641" s="317"/>
      <c r="D641" s="317"/>
      <c r="E641" s="318"/>
      <c r="F641" s="318"/>
      <c r="G641" s="317"/>
      <c r="H641" s="327"/>
      <c r="I641" s="321"/>
      <c r="J641" s="328"/>
      <c r="K641" s="328"/>
      <c r="L641" s="317"/>
      <c r="M641" s="317"/>
      <c r="N641" s="317"/>
      <c r="O641" s="317"/>
      <c r="P641" s="317"/>
      <c r="Q641" s="317"/>
      <c r="R641" s="317"/>
      <c r="S641" s="317"/>
      <c r="T641" s="317"/>
    </row>
    <row r="642" ht="15.75" customHeight="1">
      <c r="A642" s="317"/>
      <c r="B642" s="318"/>
      <c r="C642" s="317"/>
      <c r="D642" s="317"/>
      <c r="E642" s="318"/>
      <c r="F642" s="318"/>
      <c r="G642" s="317"/>
      <c r="H642" s="327"/>
      <c r="I642" s="321"/>
      <c r="J642" s="328"/>
      <c r="K642" s="328"/>
      <c r="L642" s="317"/>
      <c r="M642" s="317"/>
      <c r="N642" s="317"/>
      <c r="O642" s="317"/>
      <c r="P642" s="317"/>
      <c r="Q642" s="317"/>
      <c r="R642" s="317"/>
      <c r="S642" s="317"/>
      <c r="T642" s="317"/>
    </row>
    <row r="643" ht="15.75" customHeight="1">
      <c r="A643" s="317"/>
      <c r="B643" s="318"/>
      <c r="C643" s="317"/>
      <c r="D643" s="317"/>
      <c r="E643" s="318"/>
      <c r="F643" s="318"/>
      <c r="G643" s="317"/>
      <c r="H643" s="327"/>
      <c r="I643" s="321"/>
      <c r="J643" s="328"/>
      <c r="K643" s="328"/>
      <c r="L643" s="317"/>
      <c r="M643" s="317"/>
      <c r="N643" s="317"/>
      <c r="O643" s="317"/>
      <c r="P643" s="317"/>
      <c r="Q643" s="317"/>
      <c r="R643" s="317"/>
      <c r="S643" s="317"/>
      <c r="T643" s="317"/>
    </row>
    <row r="644" ht="15.75" customHeight="1">
      <c r="A644" s="317"/>
      <c r="B644" s="318"/>
      <c r="C644" s="317"/>
      <c r="D644" s="317"/>
      <c r="E644" s="318"/>
      <c r="F644" s="318"/>
      <c r="G644" s="317"/>
      <c r="H644" s="327"/>
      <c r="I644" s="321"/>
      <c r="J644" s="328"/>
      <c r="K644" s="328"/>
      <c r="L644" s="317"/>
      <c r="M644" s="317"/>
      <c r="N644" s="317"/>
      <c r="O644" s="317"/>
      <c r="P644" s="317"/>
      <c r="Q644" s="317"/>
      <c r="R644" s="317"/>
      <c r="S644" s="317"/>
      <c r="T644" s="317"/>
    </row>
    <row r="645" ht="15.75" customHeight="1">
      <c r="A645" s="317"/>
      <c r="B645" s="318"/>
      <c r="C645" s="317"/>
      <c r="D645" s="317"/>
      <c r="E645" s="318"/>
      <c r="F645" s="318"/>
      <c r="G645" s="317"/>
      <c r="H645" s="327"/>
      <c r="I645" s="321"/>
      <c r="J645" s="328"/>
      <c r="K645" s="328"/>
      <c r="L645" s="317"/>
      <c r="M645" s="317"/>
      <c r="N645" s="317"/>
      <c r="O645" s="317"/>
      <c r="P645" s="317"/>
      <c r="Q645" s="317"/>
      <c r="R645" s="317"/>
      <c r="S645" s="317"/>
      <c r="T645" s="317"/>
    </row>
    <row r="646" ht="15.75" customHeight="1">
      <c r="A646" s="317"/>
      <c r="B646" s="318"/>
      <c r="C646" s="317"/>
      <c r="D646" s="317"/>
      <c r="E646" s="318"/>
      <c r="F646" s="318"/>
      <c r="G646" s="317"/>
      <c r="H646" s="327"/>
      <c r="I646" s="321"/>
      <c r="J646" s="328"/>
      <c r="K646" s="328"/>
      <c r="L646" s="317"/>
      <c r="M646" s="317"/>
      <c r="N646" s="317"/>
      <c r="O646" s="317"/>
      <c r="P646" s="317"/>
      <c r="Q646" s="317"/>
      <c r="R646" s="317"/>
      <c r="S646" s="317"/>
      <c r="T646" s="317"/>
    </row>
    <row r="647" ht="15.75" customHeight="1">
      <c r="A647" s="317"/>
      <c r="B647" s="318"/>
      <c r="C647" s="317"/>
      <c r="D647" s="317"/>
      <c r="E647" s="318"/>
      <c r="F647" s="318"/>
      <c r="G647" s="317"/>
      <c r="H647" s="327"/>
      <c r="I647" s="321"/>
      <c r="J647" s="328"/>
      <c r="K647" s="328"/>
      <c r="L647" s="317"/>
      <c r="M647" s="317"/>
      <c r="N647" s="317"/>
      <c r="O647" s="317"/>
      <c r="P647" s="317"/>
      <c r="Q647" s="317"/>
      <c r="R647" s="317"/>
      <c r="S647" s="317"/>
      <c r="T647" s="317"/>
    </row>
    <row r="648" ht="15.75" customHeight="1">
      <c r="A648" s="317"/>
      <c r="B648" s="318"/>
      <c r="C648" s="317"/>
      <c r="D648" s="317"/>
      <c r="E648" s="318"/>
      <c r="F648" s="318"/>
      <c r="G648" s="317"/>
      <c r="H648" s="327"/>
      <c r="I648" s="321"/>
      <c r="J648" s="328"/>
      <c r="K648" s="328"/>
      <c r="L648" s="317"/>
      <c r="M648" s="317"/>
      <c r="N648" s="317"/>
      <c r="O648" s="317"/>
      <c r="P648" s="317"/>
      <c r="Q648" s="317"/>
      <c r="R648" s="317"/>
      <c r="S648" s="317"/>
      <c r="T648" s="317"/>
    </row>
    <row r="649" ht="15.75" customHeight="1">
      <c r="A649" s="317"/>
      <c r="B649" s="318"/>
      <c r="C649" s="317"/>
      <c r="D649" s="317"/>
      <c r="E649" s="318"/>
      <c r="F649" s="318"/>
      <c r="G649" s="317"/>
      <c r="H649" s="327"/>
      <c r="I649" s="321"/>
      <c r="J649" s="328"/>
      <c r="K649" s="328"/>
      <c r="L649" s="317"/>
      <c r="M649" s="317"/>
      <c r="N649" s="317"/>
      <c r="O649" s="317"/>
      <c r="P649" s="317"/>
      <c r="Q649" s="317"/>
      <c r="R649" s="317"/>
      <c r="S649" s="317"/>
      <c r="T649" s="317"/>
    </row>
    <row r="650" ht="15.75" customHeight="1">
      <c r="A650" s="317"/>
      <c r="B650" s="318"/>
      <c r="C650" s="317"/>
      <c r="D650" s="317"/>
      <c r="E650" s="318"/>
      <c r="F650" s="318"/>
      <c r="G650" s="317"/>
      <c r="H650" s="327"/>
      <c r="I650" s="321"/>
      <c r="J650" s="328"/>
      <c r="K650" s="328"/>
      <c r="L650" s="317"/>
      <c r="M650" s="317"/>
      <c r="N650" s="317"/>
      <c r="O650" s="317"/>
      <c r="P650" s="317"/>
      <c r="Q650" s="317"/>
      <c r="R650" s="317"/>
      <c r="S650" s="317"/>
      <c r="T650" s="317"/>
    </row>
    <row r="651" ht="15.75" customHeight="1">
      <c r="A651" s="317"/>
      <c r="B651" s="318"/>
      <c r="C651" s="317"/>
      <c r="D651" s="317"/>
      <c r="E651" s="318"/>
      <c r="F651" s="318"/>
      <c r="G651" s="317"/>
      <c r="H651" s="327"/>
      <c r="I651" s="321"/>
      <c r="J651" s="328"/>
      <c r="K651" s="328"/>
      <c r="L651" s="317"/>
      <c r="M651" s="317"/>
      <c r="N651" s="317"/>
      <c r="O651" s="317"/>
      <c r="P651" s="317"/>
      <c r="Q651" s="317"/>
      <c r="R651" s="317"/>
      <c r="S651" s="317"/>
      <c r="T651" s="317"/>
    </row>
    <row r="652" ht="15.75" customHeight="1">
      <c r="A652" s="317"/>
      <c r="B652" s="318"/>
      <c r="C652" s="317"/>
      <c r="D652" s="317"/>
      <c r="E652" s="318"/>
      <c r="F652" s="318"/>
      <c r="G652" s="317"/>
      <c r="H652" s="327"/>
      <c r="I652" s="321"/>
      <c r="J652" s="328"/>
      <c r="K652" s="328"/>
      <c r="L652" s="317"/>
      <c r="M652" s="317"/>
      <c r="N652" s="317"/>
      <c r="O652" s="317"/>
      <c r="P652" s="317"/>
      <c r="Q652" s="317"/>
      <c r="R652" s="317"/>
      <c r="S652" s="317"/>
      <c r="T652" s="317"/>
    </row>
    <row r="653" ht="15.75" customHeight="1">
      <c r="A653" s="317"/>
      <c r="B653" s="318"/>
      <c r="C653" s="317"/>
      <c r="D653" s="317"/>
      <c r="E653" s="318"/>
      <c r="F653" s="318"/>
      <c r="G653" s="317"/>
      <c r="H653" s="327"/>
      <c r="I653" s="321"/>
      <c r="J653" s="328"/>
      <c r="K653" s="328"/>
      <c r="L653" s="317"/>
      <c r="M653" s="317"/>
      <c r="N653" s="317"/>
      <c r="O653" s="317"/>
      <c r="P653" s="317"/>
      <c r="Q653" s="317"/>
      <c r="R653" s="317"/>
      <c r="S653" s="317"/>
      <c r="T653" s="317"/>
    </row>
    <row r="654" ht="15.75" customHeight="1">
      <c r="A654" s="317"/>
      <c r="B654" s="318"/>
      <c r="C654" s="317"/>
      <c r="D654" s="317"/>
      <c r="E654" s="318"/>
      <c r="F654" s="318"/>
      <c r="G654" s="317"/>
      <c r="H654" s="327"/>
      <c r="I654" s="321"/>
      <c r="J654" s="328"/>
      <c r="K654" s="328"/>
      <c r="L654" s="317"/>
      <c r="M654" s="317"/>
      <c r="N654" s="317"/>
      <c r="O654" s="317"/>
      <c r="P654" s="317"/>
      <c r="Q654" s="317"/>
      <c r="R654" s="317"/>
      <c r="S654" s="317"/>
      <c r="T654" s="317"/>
    </row>
    <row r="655" ht="15.75" customHeight="1">
      <c r="A655" s="317"/>
      <c r="B655" s="318"/>
      <c r="C655" s="317"/>
      <c r="D655" s="317"/>
      <c r="E655" s="318"/>
      <c r="F655" s="318"/>
      <c r="G655" s="317"/>
      <c r="H655" s="327"/>
      <c r="I655" s="321"/>
      <c r="J655" s="328"/>
      <c r="K655" s="328"/>
      <c r="L655" s="317"/>
      <c r="M655" s="317"/>
      <c r="N655" s="317"/>
      <c r="O655" s="317"/>
      <c r="P655" s="317"/>
      <c r="Q655" s="317"/>
      <c r="R655" s="317"/>
      <c r="S655" s="317"/>
      <c r="T655" s="317"/>
    </row>
    <row r="656" ht="15.75" customHeight="1">
      <c r="A656" s="317"/>
      <c r="B656" s="318"/>
      <c r="C656" s="317"/>
      <c r="D656" s="317"/>
      <c r="E656" s="318"/>
      <c r="F656" s="318"/>
      <c r="G656" s="317"/>
      <c r="H656" s="327"/>
      <c r="I656" s="321"/>
      <c r="J656" s="328"/>
      <c r="K656" s="328"/>
      <c r="L656" s="317"/>
      <c r="M656" s="317"/>
      <c r="N656" s="317"/>
      <c r="O656" s="317"/>
      <c r="P656" s="317"/>
      <c r="Q656" s="317"/>
      <c r="R656" s="317"/>
      <c r="S656" s="317"/>
      <c r="T656" s="317"/>
    </row>
    <row r="657" ht="15.75" customHeight="1">
      <c r="A657" s="317"/>
      <c r="B657" s="318"/>
      <c r="C657" s="317"/>
      <c r="D657" s="317"/>
      <c r="E657" s="318"/>
      <c r="F657" s="318"/>
      <c r="G657" s="317"/>
      <c r="H657" s="327"/>
      <c r="I657" s="321"/>
      <c r="J657" s="328"/>
      <c r="K657" s="328"/>
      <c r="L657" s="317"/>
      <c r="M657" s="317"/>
      <c r="N657" s="317"/>
      <c r="O657" s="317"/>
      <c r="P657" s="317"/>
      <c r="Q657" s="317"/>
      <c r="R657" s="317"/>
      <c r="S657" s="317"/>
      <c r="T657" s="317"/>
    </row>
    <row r="658" ht="15.75" customHeight="1">
      <c r="A658" s="317"/>
      <c r="B658" s="318"/>
      <c r="C658" s="317"/>
      <c r="D658" s="317"/>
      <c r="E658" s="318"/>
      <c r="F658" s="318"/>
      <c r="G658" s="317"/>
      <c r="H658" s="327"/>
      <c r="I658" s="321"/>
      <c r="J658" s="328"/>
      <c r="K658" s="328"/>
      <c r="L658" s="317"/>
      <c r="M658" s="317"/>
      <c r="N658" s="317"/>
      <c r="O658" s="317"/>
      <c r="P658" s="317"/>
      <c r="Q658" s="317"/>
      <c r="R658" s="317"/>
      <c r="S658" s="317"/>
      <c r="T658" s="317"/>
    </row>
    <row r="659" ht="15.75" customHeight="1">
      <c r="A659" s="317"/>
      <c r="B659" s="318"/>
      <c r="C659" s="317"/>
      <c r="D659" s="317"/>
      <c r="E659" s="318"/>
      <c r="F659" s="318"/>
      <c r="G659" s="317"/>
      <c r="H659" s="327"/>
      <c r="I659" s="321"/>
      <c r="J659" s="328"/>
      <c r="K659" s="328"/>
      <c r="L659" s="317"/>
      <c r="M659" s="317"/>
      <c r="N659" s="317"/>
      <c r="O659" s="317"/>
      <c r="P659" s="317"/>
      <c r="Q659" s="317"/>
      <c r="R659" s="317"/>
      <c r="S659" s="317"/>
      <c r="T659" s="317"/>
    </row>
    <row r="660" ht="15.75" customHeight="1">
      <c r="A660" s="317"/>
      <c r="B660" s="318"/>
      <c r="C660" s="317"/>
      <c r="D660" s="317"/>
      <c r="E660" s="318"/>
      <c r="F660" s="318"/>
      <c r="G660" s="317"/>
      <c r="H660" s="327"/>
      <c r="I660" s="321"/>
      <c r="J660" s="328"/>
      <c r="K660" s="328"/>
      <c r="L660" s="317"/>
      <c r="M660" s="317"/>
      <c r="N660" s="317"/>
      <c r="O660" s="317"/>
      <c r="P660" s="317"/>
      <c r="Q660" s="317"/>
      <c r="R660" s="317"/>
      <c r="S660" s="317"/>
      <c r="T660" s="317"/>
    </row>
    <row r="661" ht="15.75" customHeight="1">
      <c r="A661" s="317"/>
      <c r="B661" s="318"/>
      <c r="C661" s="317"/>
      <c r="D661" s="317"/>
      <c r="E661" s="318"/>
      <c r="F661" s="318"/>
      <c r="G661" s="317"/>
      <c r="H661" s="327"/>
      <c r="I661" s="321"/>
      <c r="J661" s="328"/>
      <c r="K661" s="328"/>
      <c r="L661" s="317"/>
      <c r="M661" s="317"/>
      <c r="N661" s="317"/>
      <c r="O661" s="317"/>
      <c r="P661" s="317"/>
      <c r="Q661" s="317"/>
      <c r="R661" s="317"/>
      <c r="S661" s="317"/>
      <c r="T661" s="317"/>
    </row>
    <row r="662" ht="15.75" customHeight="1">
      <c r="A662" s="317"/>
      <c r="B662" s="318"/>
      <c r="C662" s="317"/>
      <c r="D662" s="317"/>
      <c r="E662" s="318"/>
      <c r="F662" s="318"/>
      <c r="G662" s="317"/>
      <c r="H662" s="327"/>
      <c r="I662" s="321"/>
      <c r="J662" s="328"/>
      <c r="K662" s="328"/>
      <c r="L662" s="317"/>
      <c r="M662" s="317"/>
      <c r="N662" s="317"/>
      <c r="O662" s="317"/>
      <c r="P662" s="317"/>
      <c r="Q662" s="317"/>
      <c r="R662" s="317"/>
      <c r="S662" s="317"/>
      <c r="T662" s="317"/>
    </row>
    <row r="663" ht="15.75" customHeight="1">
      <c r="A663" s="317"/>
      <c r="B663" s="318"/>
      <c r="C663" s="317"/>
      <c r="D663" s="317"/>
      <c r="E663" s="318"/>
      <c r="F663" s="318"/>
      <c r="G663" s="317"/>
      <c r="H663" s="327"/>
      <c r="I663" s="321"/>
      <c r="J663" s="328"/>
      <c r="K663" s="328"/>
      <c r="L663" s="317"/>
      <c r="M663" s="317"/>
      <c r="N663" s="317"/>
      <c r="O663" s="317"/>
      <c r="P663" s="317"/>
      <c r="Q663" s="317"/>
      <c r="R663" s="317"/>
      <c r="S663" s="317"/>
      <c r="T663" s="317"/>
    </row>
    <row r="664" ht="15.75" customHeight="1">
      <c r="A664" s="317"/>
      <c r="B664" s="318"/>
      <c r="C664" s="317"/>
      <c r="D664" s="317"/>
      <c r="E664" s="318"/>
      <c r="F664" s="318"/>
      <c r="G664" s="317"/>
      <c r="H664" s="327"/>
      <c r="I664" s="321"/>
      <c r="J664" s="328"/>
      <c r="K664" s="328"/>
      <c r="L664" s="317"/>
      <c r="M664" s="317"/>
      <c r="N664" s="317"/>
      <c r="O664" s="317"/>
      <c r="P664" s="317"/>
      <c r="Q664" s="317"/>
      <c r="R664" s="317"/>
      <c r="S664" s="317"/>
      <c r="T664" s="317"/>
    </row>
    <row r="665" ht="15.75" customHeight="1">
      <c r="A665" s="317"/>
      <c r="B665" s="318"/>
      <c r="C665" s="317"/>
      <c r="D665" s="317"/>
      <c r="E665" s="318"/>
      <c r="F665" s="318"/>
      <c r="G665" s="317"/>
      <c r="H665" s="327"/>
      <c r="I665" s="321"/>
      <c r="J665" s="328"/>
      <c r="K665" s="328"/>
      <c r="L665" s="317"/>
      <c r="M665" s="317"/>
      <c r="N665" s="317"/>
      <c r="O665" s="317"/>
      <c r="P665" s="317"/>
      <c r="Q665" s="317"/>
      <c r="R665" s="317"/>
      <c r="S665" s="317"/>
      <c r="T665" s="317"/>
    </row>
    <row r="666" ht="15.75" customHeight="1">
      <c r="A666" s="317"/>
      <c r="B666" s="318"/>
      <c r="C666" s="317"/>
      <c r="D666" s="317"/>
      <c r="E666" s="318"/>
      <c r="F666" s="318"/>
      <c r="G666" s="317"/>
      <c r="H666" s="327"/>
      <c r="I666" s="321"/>
      <c r="J666" s="328"/>
      <c r="K666" s="328"/>
      <c r="L666" s="317"/>
      <c r="M666" s="317"/>
      <c r="N666" s="317"/>
      <c r="O666" s="317"/>
      <c r="P666" s="317"/>
      <c r="Q666" s="317"/>
      <c r="R666" s="317"/>
      <c r="S666" s="317"/>
      <c r="T666" s="317"/>
    </row>
    <row r="667" ht="15.75" customHeight="1">
      <c r="A667" s="317"/>
      <c r="B667" s="318"/>
      <c r="C667" s="317"/>
      <c r="D667" s="317"/>
      <c r="E667" s="318"/>
      <c r="F667" s="318"/>
      <c r="G667" s="317"/>
      <c r="H667" s="327"/>
      <c r="I667" s="321"/>
      <c r="J667" s="328"/>
      <c r="K667" s="328"/>
      <c r="L667" s="317"/>
      <c r="M667" s="317"/>
      <c r="N667" s="317"/>
      <c r="O667" s="317"/>
      <c r="P667" s="317"/>
      <c r="Q667" s="317"/>
      <c r="R667" s="317"/>
      <c r="S667" s="317"/>
      <c r="T667" s="317"/>
    </row>
    <row r="668" ht="15.75" customHeight="1">
      <c r="A668" s="317"/>
      <c r="B668" s="318"/>
      <c r="C668" s="317"/>
      <c r="D668" s="317"/>
      <c r="E668" s="318"/>
      <c r="F668" s="318"/>
      <c r="G668" s="317"/>
      <c r="H668" s="327"/>
      <c r="I668" s="321"/>
      <c r="J668" s="328"/>
      <c r="K668" s="328"/>
      <c r="L668" s="317"/>
      <c r="M668" s="317"/>
      <c r="N668" s="317"/>
      <c r="O668" s="317"/>
      <c r="P668" s="317"/>
      <c r="Q668" s="317"/>
      <c r="R668" s="317"/>
      <c r="S668" s="317"/>
      <c r="T668" s="317"/>
    </row>
    <row r="669" ht="15.75" customHeight="1">
      <c r="A669" s="317"/>
      <c r="B669" s="318"/>
      <c r="C669" s="317"/>
      <c r="D669" s="317"/>
      <c r="E669" s="318"/>
      <c r="F669" s="318"/>
      <c r="G669" s="317"/>
      <c r="H669" s="327"/>
      <c r="I669" s="321"/>
      <c r="J669" s="328"/>
      <c r="K669" s="328"/>
      <c r="L669" s="317"/>
      <c r="M669" s="317"/>
      <c r="N669" s="317"/>
      <c r="O669" s="317"/>
      <c r="P669" s="317"/>
      <c r="Q669" s="317"/>
      <c r="R669" s="317"/>
      <c r="S669" s="317"/>
      <c r="T669" s="317"/>
    </row>
    <row r="670" ht="15.75" customHeight="1">
      <c r="A670" s="317"/>
      <c r="B670" s="318"/>
      <c r="C670" s="317"/>
      <c r="D670" s="317"/>
      <c r="E670" s="318"/>
      <c r="F670" s="318"/>
      <c r="G670" s="317"/>
      <c r="H670" s="327"/>
      <c r="I670" s="321"/>
      <c r="J670" s="328"/>
      <c r="K670" s="328"/>
      <c r="L670" s="317"/>
      <c r="M670" s="317"/>
      <c r="N670" s="317"/>
      <c r="O670" s="317"/>
      <c r="P670" s="317"/>
      <c r="Q670" s="317"/>
      <c r="R670" s="317"/>
      <c r="S670" s="317"/>
      <c r="T670" s="317"/>
    </row>
    <row r="671" ht="15.75" customHeight="1">
      <c r="A671" s="317"/>
      <c r="B671" s="318"/>
      <c r="C671" s="317"/>
      <c r="D671" s="317"/>
      <c r="E671" s="318"/>
      <c r="F671" s="318"/>
      <c r="G671" s="317"/>
      <c r="H671" s="327"/>
      <c r="I671" s="321"/>
      <c r="J671" s="328"/>
      <c r="K671" s="328"/>
      <c r="L671" s="317"/>
      <c r="M671" s="317"/>
      <c r="N671" s="317"/>
      <c r="O671" s="317"/>
      <c r="P671" s="317"/>
      <c r="Q671" s="317"/>
      <c r="R671" s="317"/>
      <c r="S671" s="317"/>
      <c r="T671" s="317"/>
    </row>
    <row r="672" ht="15.75" customHeight="1">
      <c r="A672" s="317"/>
      <c r="B672" s="318"/>
      <c r="C672" s="317"/>
      <c r="D672" s="317"/>
      <c r="E672" s="318"/>
      <c r="F672" s="318"/>
      <c r="G672" s="317"/>
      <c r="H672" s="327"/>
      <c r="I672" s="321"/>
      <c r="J672" s="328"/>
      <c r="K672" s="328"/>
      <c r="L672" s="317"/>
      <c r="M672" s="317"/>
      <c r="N672" s="317"/>
      <c r="O672" s="317"/>
      <c r="P672" s="317"/>
      <c r="Q672" s="317"/>
      <c r="R672" s="317"/>
      <c r="S672" s="317"/>
      <c r="T672" s="317"/>
    </row>
    <row r="673" ht="15.75" customHeight="1">
      <c r="A673" s="317"/>
      <c r="B673" s="318"/>
      <c r="C673" s="317"/>
      <c r="D673" s="317"/>
      <c r="E673" s="318"/>
      <c r="F673" s="318"/>
      <c r="G673" s="317"/>
      <c r="H673" s="327"/>
      <c r="I673" s="321"/>
      <c r="J673" s="328"/>
      <c r="K673" s="328"/>
      <c r="L673" s="317"/>
      <c r="M673" s="317"/>
      <c r="N673" s="317"/>
      <c r="O673" s="317"/>
      <c r="P673" s="317"/>
      <c r="Q673" s="317"/>
      <c r="R673" s="317"/>
      <c r="S673" s="317"/>
      <c r="T673" s="317"/>
    </row>
    <row r="674" ht="15.75" customHeight="1">
      <c r="A674" s="317"/>
      <c r="B674" s="318"/>
      <c r="C674" s="317"/>
      <c r="D674" s="317"/>
      <c r="E674" s="318"/>
      <c r="F674" s="318"/>
      <c r="G674" s="317"/>
      <c r="H674" s="327"/>
      <c r="I674" s="321"/>
      <c r="J674" s="328"/>
      <c r="K674" s="328"/>
      <c r="L674" s="317"/>
      <c r="M674" s="317"/>
      <c r="N674" s="317"/>
      <c r="O674" s="317"/>
      <c r="P674" s="317"/>
      <c r="Q674" s="317"/>
      <c r="R674" s="317"/>
      <c r="S674" s="317"/>
      <c r="T674" s="317"/>
    </row>
    <row r="675" ht="15.75" customHeight="1">
      <c r="A675" s="317"/>
      <c r="B675" s="318"/>
      <c r="C675" s="317"/>
      <c r="D675" s="317"/>
      <c r="E675" s="318"/>
      <c r="F675" s="318"/>
      <c r="G675" s="317"/>
      <c r="H675" s="327"/>
      <c r="I675" s="321"/>
      <c r="J675" s="328"/>
      <c r="K675" s="328"/>
      <c r="L675" s="317"/>
      <c r="M675" s="317"/>
      <c r="N675" s="317"/>
      <c r="O675" s="317"/>
      <c r="P675" s="317"/>
      <c r="Q675" s="317"/>
      <c r="R675" s="317"/>
      <c r="S675" s="317"/>
      <c r="T675" s="317"/>
    </row>
    <row r="676" ht="15.75" customHeight="1">
      <c r="A676" s="317"/>
      <c r="B676" s="318"/>
      <c r="C676" s="317"/>
      <c r="D676" s="317"/>
      <c r="E676" s="318"/>
      <c r="F676" s="318"/>
      <c r="G676" s="317"/>
      <c r="H676" s="327"/>
      <c r="I676" s="321"/>
      <c r="J676" s="328"/>
      <c r="K676" s="328"/>
      <c r="L676" s="317"/>
      <c r="M676" s="317"/>
      <c r="N676" s="317"/>
      <c r="O676" s="317"/>
      <c r="P676" s="317"/>
      <c r="Q676" s="317"/>
      <c r="R676" s="317"/>
      <c r="S676" s="317"/>
      <c r="T676" s="317"/>
    </row>
    <row r="677" ht="15.75" customHeight="1">
      <c r="A677" s="317"/>
      <c r="B677" s="318"/>
      <c r="C677" s="317"/>
      <c r="D677" s="317"/>
      <c r="E677" s="318"/>
      <c r="F677" s="318"/>
      <c r="G677" s="317"/>
      <c r="H677" s="327"/>
      <c r="I677" s="321"/>
      <c r="J677" s="328"/>
      <c r="K677" s="328"/>
      <c r="L677" s="317"/>
      <c r="M677" s="317"/>
      <c r="N677" s="317"/>
      <c r="O677" s="317"/>
      <c r="P677" s="317"/>
      <c r="Q677" s="317"/>
      <c r="R677" s="317"/>
      <c r="S677" s="317"/>
      <c r="T677" s="317"/>
    </row>
    <row r="678" ht="15.75" customHeight="1">
      <c r="A678" s="317"/>
      <c r="B678" s="318"/>
      <c r="C678" s="317"/>
      <c r="D678" s="317"/>
      <c r="E678" s="318"/>
      <c r="F678" s="318"/>
      <c r="G678" s="317"/>
      <c r="H678" s="327"/>
      <c r="I678" s="321"/>
      <c r="J678" s="328"/>
      <c r="K678" s="328"/>
      <c r="L678" s="317"/>
      <c r="M678" s="317"/>
      <c r="N678" s="317"/>
      <c r="O678" s="317"/>
      <c r="P678" s="317"/>
      <c r="Q678" s="317"/>
      <c r="R678" s="317"/>
      <c r="S678" s="317"/>
      <c r="T678" s="317"/>
    </row>
    <row r="679" ht="15.75" customHeight="1">
      <c r="A679" s="317"/>
      <c r="B679" s="318"/>
      <c r="C679" s="317"/>
      <c r="D679" s="317"/>
      <c r="E679" s="318"/>
      <c r="F679" s="318"/>
      <c r="G679" s="317"/>
      <c r="H679" s="327"/>
      <c r="I679" s="321"/>
      <c r="J679" s="328"/>
      <c r="K679" s="328"/>
      <c r="L679" s="317"/>
      <c r="M679" s="317"/>
      <c r="N679" s="317"/>
      <c r="O679" s="317"/>
      <c r="P679" s="317"/>
      <c r="Q679" s="317"/>
      <c r="R679" s="317"/>
      <c r="S679" s="317"/>
      <c r="T679" s="317"/>
    </row>
    <row r="680" ht="15.75" customHeight="1">
      <c r="A680" s="317"/>
      <c r="B680" s="318"/>
      <c r="C680" s="317"/>
      <c r="D680" s="317"/>
      <c r="E680" s="318"/>
      <c r="F680" s="318"/>
      <c r="G680" s="317"/>
      <c r="H680" s="327"/>
      <c r="I680" s="321"/>
      <c r="J680" s="328"/>
      <c r="K680" s="328"/>
      <c r="L680" s="317"/>
      <c r="M680" s="317"/>
      <c r="N680" s="317"/>
      <c r="O680" s="317"/>
      <c r="P680" s="317"/>
      <c r="Q680" s="317"/>
      <c r="R680" s="317"/>
      <c r="S680" s="317"/>
      <c r="T680" s="317"/>
    </row>
    <row r="681" ht="15.75" customHeight="1">
      <c r="A681" s="317"/>
      <c r="B681" s="318"/>
      <c r="C681" s="317"/>
      <c r="D681" s="317"/>
      <c r="E681" s="318"/>
      <c r="F681" s="318"/>
      <c r="G681" s="317"/>
      <c r="H681" s="327"/>
      <c r="I681" s="321"/>
      <c r="J681" s="328"/>
      <c r="K681" s="328"/>
      <c r="L681" s="317"/>
      <c r="M681" s="317"/>
      <c r="N681" s="317"/>
      <c r="O681" s="317"/>
      <c r="P681" s="317"/>
      <c r="Q681" s="317"/>
      <c r="R681" s="317"/>
      <c r="S681" s="317"/>
      <c r="T681" s="317"/>
    </row>
    <row r="682" ht="15.75" customHeight="1">
      <c r="A682" s="317"/>
      <c r="B682" s="318"/>
      <c r="C682" s="317"/>
      <c r="D682" s="317"/>
      <c r="E682" s="318"/>
      <c r="F682" s="318"/>
      <c r="G682" s="317"/>
      <c r="H682" s="327"/>
      <c r="I682" s="321"/>
      <c r="J682" s="328"/>
      <c r="K682" s="328"/>
      <c r="L682" s="317"/>
      <c r="M682" s="317"/>
      <c r="N682" s="317"/>
      <c r="O682" s="317"/>
      <c r="P682" s="317"/>
      <c r="Q682" s="317"/>
      <c r="R682" s="317"/>
      <c r="S682" s="317"/>
      <c r="T682" s="317"/>
    </row>
    <row r="683" ht="15.75" customHeight="1">
      <c r="A683" s="317"/>
      <c r="B683" s="318"/>
      <c r="C683" s="317"/>
      <c r="D683" s="317"/>
      <c r="E683" s="318"/>
      <c r="F683" s="318"/>
      <c r="G683" s="317"/>
      <c r="H683" s="327"/>
      <c r="I683" s="321"/>
      <c r="J683" s="328"/>
      <c r="K683" s="328"/>
      <c r="L683" s="317"/>
      <c r="M683" s="317"/>
      <c r="N683" s="317"/>
      <c r="O683" s="317"/>
      <c r="P683" s="317"/>
      <c r="Q683" s="317"/>
      <c r="R683" s="317"/>
      <c r="S683" s="317"/>
      <c r="T683" s="317"/>
    </row>
    <row r="684" ht="15.75" customHeight="1">
      <c r="A684" s="317"/>
      <c r="B684" s="318"/>
      <c r="C684" s="317"/>
      <c r="D684" s="317"/>
      <c r="E684" s="318"/>
      <c r="F684" s="318"/>
      <c r="G684" s="317"/>
      <c r="H684" s="327"/>
      <c r="I684" s="321"/>
      <c r="J684" s="328"/>
      <c r="K684" s="328"/>
      <c r="L684" s="317"/>
      <c r="M684" s="317"/>
      <c r="N684" s="317"/>
      <c r="O684" s="317"/>
      <c r="P684" s="317"/>
      <c r="Q684" s="317"/>
      <c r="R684" s="317"/>
      <c r="S684" s="317"/>
      <c r="T684" s="317"/>
    </row>
    <row r="685" ht="15.75" customHeight="1">
      <c r="A685" s="317"/>
      <c r="B685" s="318"/>
      <c r="C685" s="317"/>
      <c r="D685" s="317"/>
      <c r="E685" s="318"/>
      <c r="F685" s="318"/>
      <c r="G685" s="317"/>
      <c r="H685" s="327"/>
      <c r="I685" s="321"/>
      <c r="J685" s="328"/>
      <c r="K685" s="328"/>
      <c r="L685" s="317"/>
      <c r="M685" s="317"/>
      <c r="N685" s="317"/>
      <c r="O685" s="317"/>
      <c r="P685" s="317"/>
      <c r="Q685" s="317"/>
      <c r="R685" s="317"/>
      <c r="S685" s="317"/>
      <c r="T685" s="317"/>
    </row>
    <row r="686" ht="15.75" customHeight="1">
      <c r="A686" s="317"/>
      <c r="B686" s="318"/>
      <c r="C686" s="317"/>
      <c r="D686" s="317"/>
      <c r="E686" s="318"/>
      <c r="F686" s="318"/>
      <c r="G686" s="317"/>
      <c r="H686" s="327"/>
      <c r="I686" s="321"/>
      <c r="J686" s="328"/>
      <c r="K686" s="328"/>
      <c r="L686" s="317"/>
      <c r="M686" s="317"/>
      <c r="N686" s="317"/>
      <c r="O686" s="317"/>
      <c r="P686" s="317"/>
      <c r="Q686" s="317"/>
      <c r="R686" s="317"/>
      <c r="S686" s="317"/>
      <c r="T686" s="317"/>
    </row>
    <row r="687" ht="15.75" customHeight="1">
      <c r="A687" s="317"/>
      <c r="B687" s="318"/>
      <c r="C687" s="317"/>
      <c r="D687" s="317"/>
      <c r="E687" s="318"/>
      <c r="F687" s="318"/>
      <c r="G687" s="317"/>
      <c r="H687" s="327"/>
      <c r="I687" s="321"/>
      <c r="J687" s="328"/>
      <c r="K687" s="328"/>
      <c r="L687" s="317"/>
      <c r="M687" s="317"/>
      <c r="N687" s="317"/>
      <c r="O687" s="317"/>
      <c r="P687" s="317"/>
      <c r="Q687" s="317"/>
      <c r="R687" s="317"/>
      <c r="S687" s="317"/>
      <c r="T687" s="317"/>
    </row>
    <row r="688" ht="15.75" customHeight="1">
      <c r="A688" s="317"/>
      <c r="B688" s="318"/>
      <c r="C688" s="317"/>
      <c r="D688" s="317"/>
      <c r="E688" s="318"/>
      <c r="F688" s="318"/>
      <c r="G688" s="317"/>
      <c r="H688" s="327"/>
      <c r="I688" s="321"/>
      <c r="J688" s="328"/>
      <c r="K688" s="328"/>
      <c r="L688" s="317"/>
      <c r="M688" s="317"/>
      <c r="N688" s="317"/>
      <c r="O688" s="317"/>
      <c r="P688" s="317"/>
      <c r="Q688" s="317"/>
      <c r="R688" s="317"/>
      <c r="S688" s="317"/>
      <c r="T688" s="317"/>
    </row>
    <row r="689" ht="15.75" customHeight="1">
      <c r="A689" s="317"/>
      <c r="B689" s="318"/>
      <c r="C689" s="317"/>
      <c r="D689" s="317"/>
      <c r="E689" s="318"/>
      <c r="F689" s="318"/>
      <c r="G689" s="317"/>
      <c r="H689" s="327"/>
      <c r="I689" s="321"/>
      <c r="J689" s="328"/>
      <c r="K689" s="328"/>
      <c r="L689" s="317"/>
      <c r="M689" s="317"/>
      <c r="N689" s="317"/>
      <c r="O689" s="317"/>
      <c r="P689" s="317"/>
      <c r="Q689" s="317"/>
      <c r="R689" s="317"/>
      <c r="S689" s="317"/>
      <c r="T689" s="317"/>
    </row>
    <row r="690" ht="15.75" customHeight="1">
      <c r="A690" s="317"/>
      <c r="B690" s="318"/>
      <c r="C690" s="317"/>
      <c r="D690" s="317"/>
      <c r="E690" s="318"/>
      <c r="F690" s="318"/>
      <c r="G690" s="317"/>
      <c r="H690" s="327"/>
      <c r="I690" s="321"/>
      <c r="J690" s="328"/>
      <c r="K690" s="328"/>
      <c r="L690" s="317"/>
      <c r="M690" s="317"/>
      <c r="N690" s="317"/>
      <c r="O690" s="317"/>
      <c r="P690" s="317"/>
      <c r="Q690" s="317"/>
      <c r="R690" s="317"/>
      <c r="S690" s="317"/>
      <c r="T690" s="317"/>
    </row>
    <row r="691" ht="15.75" customHeight="1">
      <c r="A691" s="317"/>
      <c r="B691" s="318"/>
      <c r="C691" s="317"/>
      <c r="D691" s="317"/>
      <c r="E691" s="318"/>
      <c r="F691" s="318"/>
      <c r="G691" s="317"/>
      <c r="H691" s="327"/>
      <c r="I691" s="321"/>
      <c r="J691" s="328"/>
      <c r="K691" s="328"/>
      <c r="L691" s="317"/>
      <c r="M691" s="317"/>
      <c r="N691" s="317"/>
      <c r="O691" s="317"/>
      <c r="P691" s="317"/>
      <c r="Q691" s="317"/>
      <c r="R691" s="317"/>
      <c r="S691" s="317"/>
      <c r="T691" s="317"/>
    </row>
    <row r="692" ht="15.75" customHeight="1">
      <c r="A692" s="317"/>
      <c r="B692" s="318"/>
      <c r="C692" s="317"/>
      <c r="D692" s="317"/>
      <c r="E692" s="318"/>
      <c r="F692" s="318"/>
      <c r="G692" s="317"/>
      <c r="H692" s="327"/>
      <c r="I692" s="321"/>
      <c r="J692" s="328"/>
      <c r="K692" s="328"/>
      <c r="L692" s="317"/>
      <c r="M692" s="317"/>
      <c r="N692" s="317"/>
      <c r="O692" s="317"/>
      <c r="P692" s="317"/>
      <c r="Q692" s="317"/>
      <c r="R692" s="317"/>
      <c r="S692" s="317"/>
      <c r="T692" s="317"/>
    </row>
    <row r="693" ht="15.75" customHeight="1">
      <c r="A693" s="317"/>
      <c r="B693" s="318"/>
      <c r="C693" s="317"/>
      <c r="D693" s="317"/>
      <c r="E693" s="318"/>
      <c r="F693" s="318"/>
      <c r="G693" s="317"/>
      <c r="H693" s="327"/>
      <c r="I693" s="321"/>
      <c r="J693" s="328"/>
      <c r="K693" s="328"/>
      <c r="L693" s="317"/>
      <c r="M693" s="317"/>
      <c r="N693" s="317"/>
      <c r="O693" s="317"/>
      <c r="P693" s="317"/>
      <c r="Q693" s="317"/>
      <c r="R693" s="317"/>
      <c r="S693" s="317"/>
      <c r="T693" s="317"/>
    </row>
    <row r="694" ht="15.75" customHeight="1">
      <c r="A694" s="317"/>
      <c r="B694" s="318"/>
      <c r="C694" s="317"/>
      <c r="D694" s="317"/>
      <c r="E694" s="318"/>
      <c r="F694" s="318"/>
      <c r="G694" s="317"/>
      <c r="H694" s="327"/>
      <c r="I694" s="321"/>
      <c r="J694" s="328"/>
      <c r="K694" s="328"/>
      <c r="L694" s="317"/>
      <c r="M694" s="317"/>
      <c r="N694" s="317"/>
      <c r="O694" s="317"/>
      <c r="P694" s="317"/>
      <c r="Q694" s="317"/>
      <c r="R694" s="317"/>
      <c r="S694" s="317"/>
      <c r="T694" s="317"/>
    </row>
    <row r="695" ht="15.75" customHeight="1">
      <c r="A695" s="317"/>
      <c r="B695" s="318"/>
      <c r="C695" s="317"/>
      <c r="D695" s="317"/>
      <c r="E695" s="318"/>
      <c r="F695" s="318"/>
      <c r="G695" s="317"/>
      <c r="H695" s="327"/>
      <c r="I695" s="321"/>
      <c r="J695" s="328"/>
      <c r="K695" s="328"/>
      <c r="L695" s="317"/>
      <c r="M695" s="317"/>
      <c r="N695" s="317"/>
      <c r="O695" s="317"/>
      <c r="P695" s="317"/>
      <c r="Q695" s="317"/>
      <c r="R695" s="317"/>
      <c r="S695" s="317"/>
      <c r="T695" s="317"/>
    </row>
    <row r="696" ht="15.75" customHeight="1">
      <c r="A696" s="317"/>
      <c r="B696" s="318"/>
      <c r="C696" s="317"/>
      <c r="D696" s="317"/>
      <c r="E696" s="318"/>
      <c r="F696" s="318"/>
      <c r="G696" s="317"/>
      <c r="H696" s="327"/>
      <c r="I696" s="321"/>
      <c r="J696" s="328"/>
      <c r="K696" s="328"/>
      <c r="L696" s="317"/>
      <c r="M696" s="317"/>
      <c r="N696" s="317"/>
      <c r="O696" s="317"/>
      <c r="P696" s="317"/>
      <c r="Q696" s="317"/>
      <c r="R696" s="317"/>
      <c r="S696" s="317"/>
      <c r="T696" s="317"/>
    </row>
    <row r="697" ht="15.75" customHeight="1">
      <c r="A697" s="317"/>
      <c r="B697" s="318"/>
      <c r="C697" s="317"/>
      <c r="D697" s="317"/>
      <c r="E697" s="318"/>
      <c r="F697" s="318"/>
      <c r="G697" s="317"/>
      <c r="H697" s="327"/>
      <c r="I697" s="321"/>
      <c r="J697" s="328"/>
      <c r="K697" s="328"/>
      <c r="L697" s="317"/>
      <c r="M697" s="317"/>
      <c r="N697" s="317"/>
      <c r="O697" s="317"/>
      <c r="P697" s="317"/>
      <c r="Q697" s="317"/>
      <c r="R697" s="317"/>
      <c r="S697" s="317"/>
      <c r="T697" s="317"/>
    </row>
    <row r="698" ht="15.75" customHeight="1">
      <c r="A698" s="317"/>
      <c r="B698" s="318"/>
      <c r="C698" s="317"/>
      <c r="D698" s="317"/>
      <c r="E698" s="318"/>
      <c r="F698" s="318"/>
      <c r="G698" s="317"/>
      <c r="H698" s="327"/>
      <c r="I698" s="321"/>
      <c r="J698" s="328"/>
      <c r="K698" s="328"/>
      <c r="L698" s="317"/>
      <c r="M698" s="317"/>
      <c r="N698" s="317"/>
      <c r="O698" s="317"/>
      <c r="P698" s="317"/>
      <c r="Q698" s="317"/>
      <c r="R698" s="317"/>
      <c r="S698" s="317"/>
      <c r="T698" s="317"/>
    </row>
    <row r="699" ht="15.75" customHeight="1">
      <c r="A699" s="317"/>
      <c r="B699" s="318"/>
      <c r="C699" s="317"/>
      <c r="D699" s="317"/>
      <c r="E699" s="318"/>
      <c r="F699" s="318"/>
      <c r="G699" s="317"/>
      <c r="H699" s="327"/>
      <c r="I699" s="321"/>
      <c r="J699" s="328"/>
      <c r="K699" s="328"/>
      <c r="L699" s="317"/>
      <c r="M699" s="317"/>
      <c r="N699" s="317"/>
      <c r="O699" s="317"/>
      <c r="P699" s="317"/>
      <c r="Q699" s="317"/>
      <c r="R699" s="317"/>
      <c r="S699" s="317"/>
      <c r="T699" s="317"/>
    </row>
    <row r="700" ht="15.75" customHeight="1">
      <c r="A700" s="317"/>
      <c r="B700" s="318"/>
      <c r="C700" s="317"/>
      <c r="D700" s="317"/>
      <c r="E700" s="318"/>
      <c r="F700" s="318"/>
      <c r="G700" s="317"/>
      <c r="H700" s="327"/>
      <c r="I700" s="321"/>
      <c r="J700" s="328"/>
      <c r="K700" s="328"/>
      <c r="L700" s="317"/>
      <c r="M700" s="317"/>
      <c r="N700" s="317"/>
      <c r="O700" s="317"/>
      <c r="P700" s="317"/>
      <c r="Q700" s="317"/>
      <c r="R700" s="317"/>
      <c r="S700" s="317"/>
      <c r="T700" s="317"/>
    </row>
    <row r="701" ht="15.75" customHeight="1">
      <c r="A701" s="317"/>
      <c r="B701" s="318"/>
      <c r="C701" s="317"/>
      <c r="D701" s="317"/>
      <c r="E701" s="318"/>
      <c r="F701" s="318"/>
      <c r="G701" s="317"/>
      <c r="H701" s="327"/>
      <c r="I701" s="321"/>
      <c r="J701" s="328"/>
      <c r="K701" s="328"/>
      <c r="L701" s="317"/>
      <c r="M701" s="317"/>
      <c r="N701" s="317"/>
      <c r="O701" s="317"/>
      <c r="P701" s="317"/>
      <c r="Q701" s="317"/>
      <c r="R701" s="317"/>
      <c r="S701" s="317"/>
      <c r="T701" s="317"/>
    </row>
    <row r="702" ht="15.75" customHeight="1">
      <c r="A702" s="317"/>
      <c r="B702" s="318"/>
      <c r="C702" s="317"/>
      <c r="D702" s="317"/>
      <c r="E702" s="318"/>
      <c r="F702" s="318"/>
      <c r="G702" s="317"/>
      <c r="H702" s="327"/>
      <c r="I702" s="321"/>
      <c r="J702" s="328"/>
      <c r="K702" s="328"/>
      <c r="L702" s="317"/>
      <c r="M702" s="317"/>
      <c r="N702" s="317"/>
      <c r="O702" s="317"/>
      <c r="P702" s="317"/>
      <c r="Q702" s="317"/>
      <c r="R702" s="317"/>
      <c r="S702" s="317"/>
      <c r="T702" s="317"/>
    </row>
    <row r="703" ht="15.75" customHeight="1">
      <c r="A703" s="317"/>
      <c r="B703" s="318"/>
      <c r="C703" s="317"/>
      <c r="D703" s="317"/>
      <c r="E703" s="318"/>
      <c r="F703" s="318"/>
      <c r="G703" s="317"/>
      <c r="H703" s="327"/>
      <c r="I703" s="321"/>
      <c r="J703" s="328"/>
      <c r="K703" s="328"/>
      <c r="L703" s="317"/>
      <c r="M703" s="317"/>
      <c r="N703" s="317"/>
      <c r="O703" s="317"/>
      <c r="P703" s="317"/>
      <c r="Q703" s="317"/>
      <c r="R703" s="317"/>
      <c r="S703" s="317"/>
      <c r="T703" s="317"/>
    </row>
    <row r="704" ht="15.75" customHeight="1">
      <c r="A704" s="317"/>
      <c r="B704" s="318"/>
      <c r="C704" s="317"/>
      <c r="D704" s="317"/>
      <c r="E704" s="318"/>
      <c r="F704" s="318"/>
      <c r="G704" s="317"/>
      <c r="H704" s="327"/>
      <c r="I704" s="321"/>
      <c r="J704" s="328"/>
      <c r="K704" s="328"/>
      <c r="L704" s="317"/>
      <c r="M704" s="317"/>
      <c r="N704" s="317"/>
      <c r="O704" s="317"/>
      <c r="P704" s="317"/>
      <c r="Q704" s="317"/>
      <c r="R704" s="317"/>
      <c r="S704" s="317"/>
      <c r="T704" s="317"/>
    </row>
    <row r="705" ht="15.75" customHeight="1">
      <c r="A705" s="317"/>
      <c r="B705" s="318"/>
      <c r="C705" s="317"/>
      <c r="D705" s="317"/>
      <c r="E705" s="318"/>
      <c r="F705" s="318"/>
      <c r="G705" s="317"/>
      <c r="H705" s="327"/>
      <c r="I705" s="321"/>
      <c r="J705" s="328"/>
      <c r="K705" s="328"/>
      <c r="L705" s="317"/>
      <c r="M705" s="317"/>
      <c r="N705" s="317"/>
      <c r="O705" s="317"/>
      <c r="P705" s="317"/>
      <c r="Q705" s="317"/>
      <c r="R705" s="317"/>
      <c r="S705" s="317"/>
      <c r="T705" s="317"/>
    </row>
    <row r="706" ht="15.75" customHeight="1">
      <c r="A706" s="317"/>
      <c r="B706" s="318"/>
      <c r="C706" s="317"/>
      <c r="D706" s="317"/>
      <c r="E706" s="318"/>
      <c r="F706" s="318"/>
      <c r="G706" s="317"/>
      <c r="H706" s="327"/>
      <c r="I706" s="321"/>
      <c r="J706" s="328"/>
      <c r="K706" s="328"/>
      <c r="L706" s="317"/>
      <c r="M706" s="317"/>
      <c r="N706" s="317"/>
      <c r="O706" s="317"/>
      <c r="P706" s="317"/>
      <c r="Q706" s="317"/>
      <c r="R706" s="317"/>
      <c r="S706" s="317"/>
      <c r="T706" s="317"/>
    </row>
    <row r="707" ht="15.75" customHeight="1">
      <c r="A707" s="317"/>
      <c r="B707" s="318"/>
      <c r="C707" s="317"/>
      <c r="D707" s="317"/>
      <c r="E707" s="318"/>
      <c r="F707" s="318"/>
      <c r="G707" s="317"/>
      <c r="H707" s="327"/>
      <c r="I707" s="321"/>
      <c r="J707" s="328"/>
      <c r="K707" s="328"/>
      <c r="L707" s="317"/>
      <c r="M707" s="317"/>
      <c r="N707" s="317"/>
      <c r="O707" s="317"/>
      <c r="P707" s="317"/>
      <c r="Q707" s="317"/>
      <c r="R707" s="317"/>
      <c r="S707" s="317"/>
      <c r="T707" s="317"/>
    </row>
    <row r="708" ht="15.75" customHeight="1">
      <c r="A708" s="317"/>
      <c r="B708" s="318"/>
      <c r="C708" s="317"/>
      <c r="D708" s="317"/>
      <c r="E708" s="318"/>
      <c r="F708" s="318"/>
      <c r="G708" s="317"/>
      <c r="H708" s="327"/>
      <c r="I708" s="321"/>
      <c r="J708" s="328"/>
      <c r="K708" s="328"/>
      <c r="L708" s="317"/>
      <c r="M708" s="317"/>
      <c r="N708" s="317"/>
      <c r="O708" s="317"/>
      <c r="P708" s="317"/>
      <c r="Q708" s="317"/>
      <c r="R708" s="317"/>
      <c r="S708" s="317"/>
      <c r="T708" s="317"/>
    </row>
    <row r="709" ht="15.75" customHeight="1">
      <c r="A709" s="317"/>
      <c r="B709" s="318"/>
      <c r="C709" s="317"/>
      <c r="D709" s="317"/>
      <c r="E709" s="318"/>
      <c r="F709" s="318"/>
      <c r="G709" s="317"/>
      <c r="H709" s="327"/>
      <c r="I709" s="321"/>
      <c r="J709" s="328"/>
      <c r="K709" s="328"/>
      <c r="L709" s="317"/>
      <c r="M709" s="317"/>
      <c r="N709" s="317"/>
      <c r="O709" s="317"/>
      <c r="P709" s="317"/>
      <c r="Q709" s="317"/>
      <c r="R709" s="317"/>
      <c r="S709" s="317"/>
      <c r="T709" s="317"/>
    </row>
    <row r="710" ht="15.75" customHeight="1">
      <c r="A710" s="317"/>
      <c r="B710" s="318"/>
      <c r="C710" s="317"/>
      <c r="D710" s="317"/>
      <c r="E710" s="318"/>
      <c r="F710" s="318"/>
      <c r="G710" s="317"/>
      <c r="H710" s="327"/>
      <c r="I710" s="321"/>
      <c r="J710" s="328"/>
      <c r="K710" s="328"/>
      <c r="L710" s="317"/>
      <c r="M710" s="317"/>
      <c r="N710" s="317"/>
      <c r="O710" s="317"/>
      <c r="P710" s="317"/>
      <c r="Q710" s="317"/>
      <c r="R710" s="317"/>
      <c r="S710" s="317"/>
      <c r="T710" s="317"/>
    </row>
    <row r="711" ht="15.75" customHeight="1">
      <c r="A711" s="317"/>
      <c r="B711" s="318"/>
      <c r="C711" s="317"/>
      <c r="D711" s="317"/>
      <c r="E711" s="318"/>
      <c r="F711" s="318"/>
      <c r="G711" s="317"/>
      <c r="H711" s="327"/>
      <c r="I711" s="321"/>
      <c r="J711" s="328"/>
      <c r="K711" s="328"/>
      <c r="L711" s="317"/>
      <c r="M711" s="317"/>
      <c r="N711" s="317"/>
      <c r="O711" s="317"/>
      <c r="P711" s="317"/>
      <c r="Q711" s="317"/>
      <c r="R711" s="317"/>
      <c r="S711" s="317"/>
      <c r="T711" s="317"/>
    </row>
    <row r="712" ht="15.75" customHeight="1">
      <c r="A712" s="317"/>
      <c r="B712" s="318"/>
      <c r="C712" s="317"/>
      <c r="D712" s="317"/>
      <c r="E712" s="318"/>
      <c r="F712" s="318"/>
      <c r="G712" s="317"/>
      <c r="H712" s="327"/>
      <c r="I712" s="321"/>
      <c r="J712" s="328"/>
      <c r="K712" s="328"/>
      <c r="L712" s="317"/>
      <c r="M712" s="317"/>
      <c r="N712" s="317"/>
      <c r="O712" s="317"/>
      <c r="P712" s="317"/>
      <c r="Q712" s="317"/>
      <c r="R712" s="317"/>
      <c r="S712" s="317"/>
      <c r="T712" s="317"/>
    </row>
    <row r="713" ht="15.75" customHeight="1">
      <c r="A713" s="317"/>
      <c r="B713" s="318"/>
      <c r="C713" s="317"/>
      <c r="D713" s="317"/>
      <c r="E713" s="318"/>
      <c r="F713" s="318"/>
      <c r="G713" s="317"/>
      <c r="H713" s="327"/>
      <c r="I713" s="321"/>
      <c r="J713" s="328"/>
      <c r="K713" s="328"/>
      <c r="L713" s="317"/>
      <c r="M713" s="317"/>
      <c r="N713" s="317"/>
      <c r="O713" s="317"/>
      <c r="P713" s="317"/>
      <c r="Q713" s="317"/>
      <c r="R713" s="317"/>
      <c r="S713" s="317"/>
      <c r="T713" s="317"/>
    </row>
    <row r="714" ht="15.75" customHeight="1">
      <c r="A714" s="317"/>
      <c r="B714" s="318"/>
      <c r="C714" s="317"/>
      <c r="D714" s="317"/>
      <c r="E714" s="318"/>
      <c r="F714" s="318"/>
      <c r="G714" s="317"/>
      <c r="H714" s="327"/>
      <c r="I714" s="321"/>
      <c r="J714" s="328"/>
      <c r="K714" s="328"/>
      <c r="L714" s="317"/>
      <c r="M714" s="317"/>
      <c r="N714" s="317"/>
      <c r="O714" s="317"/>
      <c r="P714" s="317"/>
      <c r="Q714" s="317"/>
      <c r="R714" s="317"/>
      <c r="S714" s="317"/>
      <c r="T714" s="317"/>
    </row>
    <row r="715" ht="15.75" customHeight="1">
      <c r="A715" s="317"/>
      <c r="B715" s="318"/>
      <c r="C715" s="317"/>
      <c r="D715" s="317"/>
      <c r="E715" s="318"/>
      <c r="F715" s="318"/>
      <c r="G715" s="317"/>
      <c r="H715" s="327"/>
      <c r="I715" s="321"/>
      <c r="J715" s="328"/>
      <c r="K715" s="328"/>
      <c r="L715" s="317"/>
      <c r="M715" s="317"/>
      <c r="N715" s="317"/>
      <c r="O715" s="317"/>
      <c r="P715" s="317"/>
      <c r="Q715" s="317"/>
      <c r="R715" s="317"/>
      <c r="S715" s="317"/>
      <c r="T715" s="317"/>
    </row>
    <row r="716" ht="15.75" customHeight="1">
      <c r="A716" s="317"/>
      <c r="B716" s="318"/>
      <c r="C716" s="317"/>
      <c r="D716" s="317"/>
      <c r="E716" s="318"/>
      <c r="F716" s="318"/>
      <c r="G716" s="317"/>
      <c r="H716" s="327"/>
      <c r="I716" s="321"/>
      <c r="J716" s="328"/>
      <c r="K716" s="328"/>
      <c r="L716" s="317"/>
      <c r="M716" s="317"/>
      <c r="N716" s="317"/>
      <c r="O716" s="317"/>
      <c r="P716" s="317"/>
      <c r="Q716" s="317"/>
      <c r="R716" s="317"/>
      <c r="S716" s="317"/>
      <c r="T716" s="317"/>
    </row>
    <row r="717" ht="15.75" customHeight="1">
      <c r="A717" s="317"/>
      <c r="B717" s="318"/>
      <c r="C717" s="317"/>
      <c r="D717" s="317"/>
      <c r="E717" s="318"/>
      <c r="F717" s="318"/>
      <c r="G717" s="317"/>
      <c r="H717" s="327"/>
      <c r="I717" s="321"/>
      <c r="J717" s="328"/>
      <c r="K717" s="328"/>
      <c r="L717" s="317"/>
      <c r="M717" s="317"/>
      <c r="N717" s="317"/>
      <c r="O717" s="317"/>
      <c r="P717" s="317"/>
      <c r="Q717" s="317"/>
      <c r="R717" s="317"/>
      <c r="S717" s="317"/>
      <c r="T717" s="317"/>
    </row>
    <row r="718" ht="15.75" customHeight="1">
      <c r="A718" s="317"/>
      <c r="B718" s="318"/>
      <c r="C718" s="317"/>
      <c r="D718" s="317"/>
      <c r="E718" s="318"/>
      <c r="F718" s="318"/>
      <c r="G718" s="317"/>
      <c r="H718" s="327"/>
      <c r="I718" s="321"/>
      <c r="J718" s="328"/>
      <c r="K718" s="328"/>
      <c r="L718" s="317"/>
      <c r="M718" s="317"/>
      <c r="N718" s="317"/>
      <c r="O718" s="317"/>
      <c r="P718" s="317"/>
      <c r="Q718" s="317"/>
      <c r="R718" s="317"/>
      <c r="S718" s="317"/>
      <c r="T718" s="317"/>
    </row>
    <row r="719" ht="15.75" customHeight="1">
      <c r="A719" s="317"/>
      <c r="B719" s="318"/>
      <c r="C719" s="317"/>
      <c r="D719" s="317"/>
      <c r="E719" s="318"/>
      <c r="F719" s="318"/>
      <c r="G719" s="317"/>
      <c r="H719" s="327"/>
      <c r="I719" s="321"/>
      <c r="J719" s="328"/>
      <c r="K719" s="328"/>
      <c r="L719" s="317"/>
      <c r="M719" s="317"/>
      <c r="N719" s="317"/>
      <c r="O719" s="317"/>
      <c r="P719" s="317"/>
      <c r="Q719" s="317"/>
      <c r="R719" s="317"/>
      <c r="S719" s="317"/>
      <c r="T719" s="317"/>
    </row>
    <row r="720" ht="15.75" customHeight="1">
      <c r="A720" s="317"/>
      <c r="B720" s="318"/>
      <c r="C720" s="317"/>
      <c r="D720" s="317"/>
      <c r="E720" s="318"/>
      <c r="F720" s="318"/>
      <c r="G720" s="317"/>
      <c r="H720" s="327"/>
      <c r="I720" s="321"/>
      <c r="J720" s="328"/>
      <c r="K720" s="328"/>
      <c r="L720" s="317"/>
      <c r="M720" s="317"/>
      <c r="N720" s="317"/>
      <c r="O720" s="317"/>
      <c r="P720" s="317"/>
      <c r="Q720" s="317"/>
      <c r="R720" s="317"/>
      <c r="S720" s="317"/>
      <c r="T720" s="317"/>
    </row>
    <row r="721" ht="15.75" customHeight="1">
      <c r="A721" s="317"/>
      <c r="B721" s="318"/>
      <c r="C721" s="317"/>
      <c r="D721" s="317"/>
      <c r="E721" s="318"/>
      <c r="F721" s="318"/>
      <c r="G721" s="317"/>
      <c r="H721" s="327"/>
      <c r="I721" s="321"/>
      <c r="J721" s="328"/>
      <c r="K721" s="328"/>
      <c r="L721" s="317"/>
      <c r="M721" s="317"/>
      <c r="N721" s="317"/>
      <c r="O721" s="317"/>
      <c r="P721" s="317"/>
      <c r="Q721" s="317"/>
      <c r="R721" s="317"/>
      <c r="S721" s="317"/>
      <c r="T721" s="317"/>
    </row>
    <row r="722" ht="15.75" customHeight="1">
      <c r="A722" s="317"/>
      <c r="B722" s="318"/>
      <c r="C722" s="317"/>
      <c r="D722" s="317"/>
      <c r="E722" s="318"/>
      <c r="F722" s="318"/>
      <c r="G722" s="317"/>
      <c r="H722" s="327"/>
      <c r="I722" s="321"/>
      <c r="J722" s="328"/>
      <c r="K722" s="328"/>
      <c r="L722" s="317"/>
      <c r="M722" s="317"/>
      <c r="N722" s="317"/>
      <c r="O722" s="317"/>
      <c r="P722" s="317"/>
      <c r="Q722" s="317"/>
      <c r="R722" s="317"/>
      <c r="S722" s="317"/>
      <c r="T722" s="317"/>
    </row>
    <row r="723" ht="15.75" customHeight="1">
      <c r="A723" s="317"/>
      <c r="B723" s="318"/>
      <c r="C723" s="317"/>
      <c r="D723" s="317"/>
      <c r="E723" s="318"/>
      <c r="F723" s="318"/>
      <c r="G723" s="317"/>
      <c r="H723" s="327"/>
      <c r="I723" s="321"/>
      <c r="J723" s="328"/>
      <c r="K723" s="328"/>
      <c r="L723" s="317"/>
      <c r="M723" s="317"/>
      <c r="N723" s="317"/>
      <c r="O723" s="317"/>
      <c r="P723" s="317"/>
      <c r="Q723" s="317"/>
      <c r="R723" s="317"/>
      <c r="S723" s="317"/>
      <c r="T723" s="317"/>
    </row>
    <row r="724" ht="15.75" customHeight="1">
      <c r="A724" s="317"/>
      <c r="B724" s="318"/>
      <c r="C724" s="317"/>
      <c r="D724" s="317"/>
      <c r="E724" s="318"/>
      <c r="F724" s="318"/>
      <c r="G724" s="317"/>
      <c r="H724" s="327"/>
      <c r="I724" s="321"/>
      <c r="J724" s="328"/>
      <c r="K724" s="328"/>
      <c r="L724" s="317"/>
      <c r="M724" s="317"/>
      <c r="N724" s="317"/>
      <c r="O724" s="317"/>
      <c r="P724" s="317"/>
      <c r="Q724" s="317"/>
      <c r="R724" s="317"/>
      <c r="S724" s="317"/>
      <c r="T724" s="317"/>
    </row>
    <row r="725" ht="15.75" customHeight="1">
      <c r="A725" s="317"/>
      <c r="B725" s="318"/>
      <c r="C725" s="317"/>
      <c r="D725" s="317"/>
      <c r="E725" s="318"/>
      <c r="F725" s="318"/>
      <c r="G725" s="317"/>
      <c r="H725" s="327"/>
      <c r="I725" s="321"/>
      <c r="J725" s="328"/>
      <c r="K725" s="328"/>
      <c r="L725" s="317"/>
      <c r="M725" s="317"/>
      <c r="N725" s="317"/>
      <c r="O725" s="317"/>
      <c r="P725" s="317"/>
      <c r="Q725" s="317"/>
      <c r="R725" s="317"/>
      <c r="S725" s="317"/>
      <c r="T725" s="317"/>
    </row>
    <row r="726" ht="15.75" customHeight="1">
      <c r="A726" s="317"/>
      <c r="B726" s="318"/>
      <c r="C726" s="317"/>
      <c r="D726" s="317"/>
      <c r="E726" s="318"/>
      <c r="F726" s="318"/>
      <c r="G726" s="317"/>
      <c r="H726" s="327"/>
      <c r="I726" s="321"/>
      <c r="J726" s="328"/>
      <c r="K726" s="328"/>
      <c r="L726" s="317"/>
      <c r="M726" s="317"/>
      <c r="N726" s="317"/>
      <c r="O726" s="317"/>
      <c r="P726" s="317"/>
      <c r="Q726" s="317"/>
      <c r="R726" s="317"/>
      <c r="S726" s="317"/>
      <c r="T726" s="317"/>
    </row>
    <row r="727" ht="15.75" customHeight="1">
      <c r="A727" s="317"/>
      <c r="B727" s="318"/>
      <c r="C727" s="317"/>
      <c r="D727" s="317"/>
      <c r="E727" s="318"/>
      <c r="F727" s="318"/>
      <c r="G727" s="317"/>
      <c r="H727" s="327"/>
      <c r="I727" s="321"/>
      <c r="J727" s="328"/>
      <c r="K727" s="328"/>
      <c r="L727" s="317"/>
      <c r="M727" s="317"/>
      <c r="N727" s="317"/>
      <c r="O727" s="317"/>
      <c r="P727" s="317"/>
      <c r="Q727" s="317"/>
      <c r="R727" s="317"/>
      <c r="S727" s="317"/>
      <c r="T727" s="317"/>
    </row>
    <row r="728" ht="15.75" customHeight="1">
      <c r="A728" s="317"/>
      <c r="B728" s="318"/>
      <c r="C728" s="317"/>
      <c r="D728" s="317"/>
      <c r="E728" s="318"/>
      <c r="F728" s="318"/>
      <c r="G728" s="317"/>
      <c r="H728" s="327"/>
      <c r="I728" s="321"/>
      <c r="J728" s="328"/>
      <c r="K728" s="328"/>
      <c r="L728" s="317"/>
      <c r="M728" s="317"/>
      <c r="N728" s="317"/>
      <c r="O728" s="317"/>
      <c r="P728" s="317"/>
      <c r="Q728" s="317"/>
      <c r="R728" s="317"/>
      <c r="S728" s="317"/>
      <c r="T728" s="317"/>
    </row>
    <row r="729" ht="15.75" customHeight="1">
      <c r="A729" s="317"/>
      <c r="B729" s="318"/>
      <c r="C729" s="317"/>
      <c r="D729" s="317"/>
      <c r="E729" s="318"/>
      <c r="F729" s="318"/>
      <c r="G729" s="317"/>
      <c r="H729" s="327"/>
      <c r="I729" s="321"/>
      <c r="J729" s="328"/>
      <c r="K729" s="328"/>
      <c r="L729" s="317"/>
      <c r="M729" s="317"/>
      <c r="N729" s="317"/>
      <c r="O729" s="317"/>
      <c r="P729" s="317"/>
      <c r="Q729" s="317"/>
      <c r="R729" s="317"/>
      <c r="S729" s="317"/>
      <c r="T729" s="317"/>
    </row>
    <row r="730" ht="15.75" customHeight="1">
      <c r="A730" s="317"/>
      <c r="B730" s="318"/>
      <c r="C730" s="317"/>
      <c r="D730" s="317"/>
      <c r="E730" s="318"/>
      <c r="F730" s="318"/>
      <c r="G730" s="317"/>
      <c r="H730" s="327"/>
      <c r="I730" s="321"/>
      <c r="J730" s="328"/>
      <c r="K730" s="328"/>
      <c r="L730" s="317"/>
      <c r="M730" s="317"/>
      <c r="N730" s="317"/>
      <c r="O730" s="317"/>
      <c r="P730" s="317"/>
      <c r="Q730" s="317"/>
      <c r="R730" s="317"/>
      <c r="S730" s="317"/>
      <c r="T730" s="317"/>
    </row>
    <row r="731" ht="15.75" customHeight="1">
      <c r="A731" s="317"/>
      <c r="B731" s="318"/>
      <c r="C731" s="317"/>
      <c r="D731" s="317"/>
      <c r="E731" s="318"/>
      <c r="F731" s="318"/>
      <c r="G731" s="317"/>
      <c r="H731" s="327"/>
      <c r="I731" s="321"/>
      <c r="J731" s="328"/>
      <c r="K731" s="328"/>
      <c r="L731" s="317"/>
      <c r="M731" s="317"/>
      <c r="N731" s="317"/>
      <c r="O731" s="317"/>
      <c r="P731" s="317"/>
      <c r="Q731" s="317"/>
      <c r="R731" s="317"/>
      <c r="S731" s="317"/>
      <c r="T731" s="317"/>
    </row>
    <row r="732" ht="15.75" customHeight="1">
      <c r="A732" s="317"/>
      <c r="B732" s="318"/>
      <c r="C732" s="317"/>
      <c r="D732" s="317"/>
      <c r="E732" s="318"/>
      <c r="F732" s="318"/>
      <c r="G732" s="317"/>
      <c r="H732" s="327"/>
      <c r="I732" s="321"/>
      <c r="J732" s="328"/>
      <c r="K732" s="328"/>
      <c r="L732" s="317"/>
      <c r="M732" s="317"/>
      <c r="N732" s="317"/>
      <c r="O732" s="317"/>
      <c r="P732" s="317"/>
      <c r="Q732" s="317"/>
      <c r="R732" s="317"/>
      <c r="S732" s="317"/>
      <c r="T732" s="317"/>
    </row>
    <row r="733" ht="15.75" customHeight="1">
      <c r="A733" s="317"/>
      <c r="B733" s="318"/>
      <c r="C733" s="317"/>
      <c r="D733" s="317"/>
      <c r="E733" s="318"/>
      <c r="F733" s="318"/>
      <c r="G733" s="317"/>
      <c r="H733" s="327"/>
      <c r="I733" s="321"/>
      <c r="J733" s="328"/>
      <c r="K733" s="328"/>
      <c r="L733" s="317"/>
      <c r="M733" s="317"/>
      <c r="N733" s="317"/>
      <c r="O733" s="317"/>
      <c r="P733" s="317"/>
      <c r="Q733" s="317"/>
      <c r="R733" s="317"/>
      <c r="S733" s="317"/>
      <c r="T733" s="317"/>
    </row>
    <row r="734" ht="15.75" customHeight="1">
      <c r="A734" s="317"/>
      <c r="B734" s="318"/>
      <c r="C734" s="317"/>
      <c r="D734" s="317"/>
      <c r="E734" s="318"/>
      <c r="F734" s="318"/>
      <c r="G734" s="317"/>
      <c r="H734" s="327"/>
      <c r="I734" s="321"/>
      <c r="J734" s="328"/>
      <c r="K734" s="328"/>
      <c r="L734" s="317"/>
      <c r="M734" s="317"/>
      <c r="N734" s="317"/>
      <c r="O734" s="317"/>
      <c r="P734" s="317"/>
      <c r="Q734" s="317"/>
      <c r="R734" s="317"/>
      <c r="S734" s="317"/>
      <c r="T734" s="317"/>
    </row>
    <row r="735" ht="15.75" customHeight="1">
      <c r="A735" s="317"/>
      <c r="B735" s="318"/>
      <c r="C735" s="317"/>
      <c r="D735" s="317"/>
      <c r="E735" s="318"/>
      <c r="F735" s="318"/>
      <c r="G735" s="317"/>
      <c r="H735" s="327"/>
      <c r="I735" s="321"/>
      <c r="J735" s="328"/>
      <c r="K735" s="328"/>
      <c r="L735" s="317"/>
      <c r="M735" s="317"/>
      <c r="N735" s="317"/>
      <c r="O735" s="317"/>
      <c r="P735" s="317"/>
      <c r="Q735" s="317"/>
      <c r="R735" s="317"/>
      <c r="S735" s="317"/>
      <c r="T735" s="317"/>
    </row>
    <row r="736" ht="15.75" customHeight="1">
      <c r="A736" s="317"/>
      <c r="B736" s="318"/>
      <c r="C736" s="317"/>
      <c r="D736" s="317"/>
      <c r="E736" s="318"/>
      <c r="F736" s="318"/>
      <c r="G736" s="317"/>
      <c r="H736" s="327"/>
      <c r="I736" s="321"/>
      <c r="J736" s="328"/>
      <c r="K736" s="328"/>
      <c r="L736" s="317"/>
      <c r="M736" s="317"/>
      <c r="N736" s="317"/>
      <c r="O736" s="317"/>
      <c r="P736" s="317"/>
      <c r="Q736" s="317"/>
      <c r="R736" s="317"/>
      <c r="S736" s="317"/>
      <c r="T736" s="317"/>
    </row>
    <row r="737" ht="15.75" customHeight="1">
      <c r="A737" s="317"/>
      <c r="B737" s="318"/>
      <c r="C737" s="317"/>
      <c r="D737" s="317"/>
      <c r="E737" s="318"/>
      <c r="F737" s="318"/>
      <c r="G737" s="317"/>
      <c r="H737" s="327"/>
      <c r="I737" s="321"/>
      <c r="J737" s="328"/>
      <c r="K737" s="328"/>
      <c r="L737" s="317"/>
      <c r="M737" s="317"/>
      <c r="N737" s="317"/>
      <c r="O737" s="317"/>
      <c r="P737" s="317"/>
      <c r="Q737" s="317"/>
      <c r="R737" s="317"/>
      <c r="S737" s="317"/>
      <c r="T737" s="317"/>
    </row>
    <row r="738" ht="15.75" customHeight="1">
      <c r="A738" s="317"/>
      <c r="B738" s="318"/>
      <c r="C738" s="317"/>
      <c r="D738" s="317"/>
      <c r="E738" s="318"/>
      <c r="F738" s="318"/>
      <c r="G738" s="317"/>
      <c r="H738" s="327"/>
      <c r="I738" s="321"/>
      <c r="J738" s="328"/>
      <c r="K738" s="328"/>
      <c r="L738" s="317"/>
      <c r="M738" s="317"/>
      <c r="N738" s="317"/>
      <c r="O738" s="317"/>
      <c r="P738" s="317"/>
      <c r="Q738" s="317"/>
      <c r="R738" s="317"/>
      <c r="S738" s="317"/>
      <c r="T738" s="317"/>
    </row>
    <row r="739" ht="15.75" customHeight="1">
      <c r="A739" s="317"/>
      <c r="B739" s="318"/>
      <c r="C739" s="317"/>
      <c r="D739" s="317"/>
      <c r="E739" s="318"/>
      <c r="F739" s="318"/>
      <c r="G739" s="317"/>
      <c r="H739" s="327"/>
      <c r="I739" s="321"/>
      <c r="J739" s="328"/>
      <c r="K739" s="328"/>
      <c r="L739" s="317"/>
      <c r="M739" s="317"/>
      <c r="N739" s="317"/>
      <c r="O739" s="317"/>
      <c r="P739" s="317"/>
      <c r="Q739" s="317"/>
      <c r="R739" s="317"/>
      <c r="S739" s="317"/>
      <c r="T739" s="317"/>
    </row>
    <row r="740" ht="15.75" customHeight="1">
      <c r="A740" s="317"/>
      <c r="B740" s="318"/>
      <c r="C740" s="317"/>
      <c r="D740" s="317"/>
      <c r="E740" s="318"/>
      <c r="F740" s="318"/>
      <c r="G740" s="317"/>
      <c r="H740" s="327"/>
      <c r="I740" s="321"/>
      <c r="J740" s="328"/>
      <c r="K740" s="328"/>
      <c r="L740" s="317"/>
      <c r="M740" s="317"/>
      <c r="N740" s="317"/>
      <c r="O740" s="317"/>
      <c r="P740" s="317"/>
      <c r="Q740" s="317"/>
      <c r="R740" s="317"/>
      <c r="S740" s="317"/>
      <c r="T740" s="317"/>
    </row>
    <row r="741" ht="15.75" customHeight="1">
      <c r="A741" s="317"/>
      <c r="B741" s="318"/>
      <c r="C741" s="317"/>
      <c r="D741" s="317"/>
      <c r="E741" s="318"/>
      <c r="F741" s="318"/>
      <c r="G741" s="317"/>
      <c r="H741" s="327"/>
      <c r="I741" s="321"/>
      <c r="J741" s="328"/>
      <c r="K741" s="328"/>
      <c r="L741" s="317"/>
      <c r="M741" s="317"/>
      <c r="N741" s="317"/>
      <c r="O741" s="317"/>
      <c r="P741" s="317"/>
      <c r="Q741" s="317"/>
      <c r="R741" s="317"/>
      <c r="S741" s="317"/>
      <c r="T741" s="317"/>
    </row>
    <row r="742" ht="15.75" customHeight="1">
      <c r="A742" s="317"/>
      <c r="B742" s="318"/>
      <c r="C742" s="317"/>
      <c r="D742" s="317"/>
      <c r="E742" s="318"/>
      <c r="F742" s="318"/>
      <c r="G742" s="317"/>
      <c r="H742" s="327"/>
      <c r="I742" s="321"/>
      <c r="J742" s="328"/>
      <c r="K742" s="328"/>
      <c r="L742" s="317"/>
      <c r="M742" s="317"/>
      <c r="N742" s="317"/>
      <c r="O742" s="317"/>
      <c r="P742" s="317"/>
      <c r="Q742" s="317"/>
      <c r="R742" s="317"/>
      <c r="S742" s="317"/>
      <c r="T742" s="317"/>
    </row>
    <row r="743" ht="15.75" customHeight="1">
      <c r="A743" s="317"/>
      <c r="B743" s="318"/>
      <c r="C743" s="317"/>
      <c r="D743" s="317"/>
      <c r="E743" s="318"/>
      <c r="F743" s="318"/>
      <c r="G743" s="317"/>
      <c r="H743" s="327"/>
      <c r="I743" s="321"/>
      <c r="J743" s="328"/>
      <c r="K743" s="328"/>
      <c r="L743" s="317"/>
      <c r="M743" s="317"/>
      <c r="N743" s="317"/>
      <c r="O743" s="317"/>
      <c r="P743" s="317"/>
      <c r="Q743" s="317"/>
      <c r="R743" s="317"/>
      <c r="S743" s="317"/>
      <c r="T743" s="317"/>
    </row>
    <row r="744" ht="15.75" customHeight="1">
      <c r="A744" s="317"/>
      <c r="B744" s="318"/>
      <c r="C744" s="317"/>
      <c r="D744" s="317"/>
      <c r="E744" s="318"/>
      <c r="F744" s="318"/>
      <c r="G744" s="317"/>
      <c r="H744" s="327"/>
      <c r="I744" s="321"/>
      <c r="J744" s="328"/>
      <c r="K744" s="328"/>
      <c r="L744" s="317"/>
      <c r="M744" s="317"/>
      <c r="N744" s="317"/>
      <c r="O744" s="317"/>
      <c r="P744" s="317"/>
      <c r="Q744" s="317"/>
      <c r="R744" s="317"/>
      <c r="S744" s="317"/>
      <c r="T744" s="317"/>
    </row>
    <row r="745" ht="15.75" customHeight="1">
      <c r="A745" s="317"/>
      <c r="B745" s="318"/>
      <c r="C745" s="317"/>
      <c r="D745" s="317"/>
      <c r="E745" s="318"/>
      <c r="F745" s="318"/>
      <c r="G745" s="317"/>
      <c r="H745" s="327"/>
      <c r="I745" s="321"/>
      <c r="J745" s="328"/>
      <c r="K745" s="328"/>
      <c r="L745" s="317"/>
      <c r="M745" s="317"/>
      <c r="N745" s="317"/>
      <c r="O745" s="317"/>
      <c r="P745" s="317"/>
      <c r="Q745" s="317"/>
      <c r="R745" s="317"/>
      <c r="S745" s="317"/>
      <c r="T745" s="317"/>
    </row>
    <row r="746" ht="15.75" customHeight="1">
      <c r="A746" s="317"/>
      <c r="B746" s="318"/>
      <c r="C746" s="317"/>
      <c r="D746" s="317"/>
      <c r="E746" s="318"/>
      <c r="F746" s="318"/>
      <c r="G746" s="317"/>
      <c r="H746" s="327"/>
      <c r="I746" s="321"/>
      <c r="J746" s="328"/>
      <c r="K746" s="328"/>
      <c r="L746" s="317"/>
      <c r="M746" s="317"/>
      <c r="N746" s="317"/>
      <c r="O746" s="317"/>
      <c r="P746" s="317"/>
      <c r="Q746" s="317"/>
      <c r="R746" s="317"/>
      <c r="S746" s="317"/>
      <c r="T746" s="317"/>
    </row>
    <row r="747" ht="15.75" customHeight="1">
      <c r="A747" s="317"/>
      <c r="B747" s="318"/>
      <c r="C747" s="317"/>
      <c r="D747" s="317"/>
      <c r="E747" s="318"/>
      <c r="F747" s="318"/>
      <c r="G747" s="317"/>
      <c r="H747" s="327"/>
      <c r="I747" s="321"/>
      <c r="J747" s="328"/>
      <c r="K747" s="328"/>
      <c r="L747" s="317"/>
      <c r="M747" s="317"/>
      <c r="N747" s="317"/>
      <c r="O747" s="317"/>
      <c r="P747" s="317"/>
      <c r="Q747" s="317"/>
      <c r="R747" s="317"/>
      <c r="S747" s="317"/>
      <c r="T747" s="317"/>
    </row>
    <row r="748" ht="15.75" customHeight="1">
      <c r="A748" s="317"/>
      <c r="B748" s="318"/>
      <c r="C748" s="317"/>
      <c r="D748" s="317"/>
      <c r="E748" s="318"/>
      <c r="F748" s="318"/>
      <c r="G748" s="317"/>
      <c r="H748" s="327"/>
      <c r="I748" s="321"/>
      <c r="J748" s="328"/>
      <c r="K748" s="328"/>
      <c r="L748" s="317"/>
      <c r="M748" s="317"/>
      <c r="N748" s="317"/>
      <c r="O748" s="317"/>
      <c r="P748" s="317"/>
      <c r="Q748" s="317"/>
      <c r="R748" s="317"/>
      <c r="S748" s="317"/>
      <c r="T748" s="317"/>
    </row>
    <row r="749" ht="15.75" customHeight="1">
      <c r="A749" s="317"/>
      <c r="B749" s="318"/>
      <c r="C749" s="317"/>
      <c r="D749" s="317"/>
      <c r="E749" s="318"/>
      <c r="F749" s="318"/>
      <c r="G749" s="317"/>
      <c r="H749" s="327"/>
      <c r="I749" s="321"/>
      <c r="J749" s="328"/>
      <c r="K749" s="328"/>
      <c r="L749" s="317"/>
      <c r="M749" s="317"/>
      <c r="N749" s="317"/>
      <c r="O749" s="317"/>
      <c r="P749" s="317"/>
      <c r="Q749" s="317"/>
      <c r="R749" s="317"/>
      <c r="S749" s="317"/>
      <c r="T749" s="317"/>
    </row>
    <row r="750" ht="15.75" customHeight="1">
      <c r="A750" s="317"/>
      <c r="B750" s="318"/>
      <c r="C750" s="317"/>
      <c r="D750" s="317"/>
      <c r="E750" s="318"/>
      <c r="F750" s="318"/>
      <c r="G750" s="317"/>
      <c r="H750" s="327"/>
      <c r="I750" s="321"/>
      <c r="J750" s="328"/>
      <c r="K750" s="328"/>
      <c r="L750" s="317"/>
      <c r="M750" s="317"/>
      <c r="N750" s="317"/>
      <c r="O750" s="317"/>
      <c r="P750" s="317"/>
      <c r="Q750" s="317"/>
      <c r="R750" s="317"/>
      <c r="S750" s="317"/>
      <c r="T750" s="317"/>
    </row>
    <row r="751" ht="15.75" customHeight="1">
      <c r="A751" s="317"/>
      <c r="B751" s="318"/>
      <c r="C751" s="317"/>
      <c r="D751" s="317"/>
      <c r="E751" s="318"/>
      <c r="F751" s="318"/>
      <c r="G751" s="317"/>
      <c r="H751" s="327"/>
      <c r="I751" s="321"/>
      <c r="J751" s="328"/>
      <c r="K751" s="328"/>
      <c r="L751" s="317"/>
      <c r="M751" s="317"/>
      <c r="N751" s="317"/>
      <c r="O751" s="317"/>
      <c r="P751" s="317"/>
      <c r="Q751" s="317"/>
      <c r="R751" s="317"/>
      <c r="S751" s="317"/>
      <c r="T751" s="317"/>
    </row>
    <row r="752" ht="15.75" customHeight="1">
      <c r="A752" s="317"/>
      <c r="B752" s="318"/>
      <c r="C752" s="317"/>
      <c r="D752" s="317"/>
      <c r="E752" s="318"/>
      <c r="F752" s="318"/>
      <c r="G752" s="317"/>
      <c r="H752" s="327"/>
      <c r="I752" s="321"/>
      <c r="J752" s="328"/>
      <c r="K752" s="328"/>
      <c r="L752" s="317"/>
      <c r="M752" s="317"/>
      <c r="N752" s="317"/>
      <c r="O752" s="317"/>
      <c r="P752" s="317"/>
      <c r="Q752" s="317"/>
      <c r="R752" s="317"/>
      <c r="S752" s="317"/>
      <c r="T752" s="317"/>
    </row>
    <row r="753" ht="15.75" customHeight="1">
      <c r="A753" s="317"/>
      <c r="B753" s="318"/>
      <c r="C753" s="317"/>
      <c r="D753" s="317"/>
      <c r="E753" s="318"/>
      <c r="F753" s="318"/>
      <c r="G753" s="317"/>
      <c r="H753" s="327"/>
      <c r="I753" s="321"/>
      <c r="J753" s="328"/>
      <c r="K753" s="328"/>
      <c r="L753" s="317"/>
      <c r="M753" s="317"/>
      <c r="N753" s="317"/>
      <c r="O753" s="317"/>
      <c r="P753" s="317"/>
      <c r="Q753" s="317"/>
      <c r="R753" s="317"/>
      <c r="S753" s="317"/>
      <c r="T753" s="317"/>
    </row>
    <row r="754" ht="15.75" customHeight="1">
      <c r="A754" s="317"/>
      <c r="B754" s="318"/>
      <c r="C754" s="317"/>
      <c r="D754" s="317"/>
      <c r="E754" s="318"/>
      <c r="F754" s="318"/>
      <c r="G754" s="317"/>
      <c r="H754" s="327"/>
      <c r="I754" s="321"/>
      <c r="J754" s="328"/>
      <c r="K754" s="328"/>
      <c r="L754" s="317"/>
      <c r="M754" s="317"/>
      <c r="N754" s="317"/>
      <c r="O754" s="317"/>
      <c r="P754" s="317"/>
      <c r="Q754" s="317"/>
      <c r="R754" s="317"/>
      <c r="S754" s="317"/>
      <c r="T754" s="317"/>
    </row>
    <row r="755" ht="15.75" customHeight="1">
      <c r="A755" s="317"/>
      <c r="B755" s="318"/>
      <c r="C755" s="317"/>
      <c r="D755" s="317"/>
      <c r="E755" s="318"/>
      <c r="F755" s="318"/>
      <c r="G755" s="317"/>
      <c r="H755" s="327"/>
      <c r="I755" s="321"/>
      <c r="J755" s="328"/>
      <c r="K755" s="328"/>
      <c r="L755" s="317"/>
      <c r="M755" s="317"/>
      <c r="N755" s="317"/>
      <c r="O755" s="317"/>
      <c r="P755" s="317"/>
      <c r="Q755" s="317"/>
      <c r="R755" s="317"/>
      <c r="S755" s="317"/>
      <c r="T755" s="317"/>
    </row>
    <row r="756" ht="15.75" customHeight="1">
      <c r="A756" s="317"/>
      <c r="B756" s="318"/>
      <c r="C756" s="317"/>
      <c r="D756" s="317"/>
      <c r="E756" s="318"/>
      <c r="F756" s="318"/>
      <c r="G756" s="317"/>
      <c r="H756" s="327"/>
      <c r="I756" s="321"/>
      <c r="J756" s="328"/>
      <c r="K756" s="328"/>
      <c r="L756" s="317"/>
      <c r="M756" s="317"/>
      <c r="N756" s="317"/>
      <c r="O756" s="317"/>
      <c r="P756" s="317"/>
      <c r="Q756" s="317"/>
      <c r="R756" s="317"/>
      <c r="S756" s="317"/>
      <c r="T756" s="317"/>
    </row>
    <row r="757" ht="15.75" customHeight="1">
      <c r="A757" s="317"/>
      <c r="B757" s="318"/>
      <c r="C757" s="317"/>
      <c r="D757" s="317"/>
      <c r="E757" s="318"/>
      <c r="F757" s="318"/>
      <c r="G757" s="317"/>
      <c r="H757" s="327"/>
      <c r="I757" s="321"/>
      <c r="J757" s="328"/>
      <c r="K757" s="328"/>
      <c r="L757" s="317"/>
      <c r="M757" s="317"/>
      <c r="N757" s="317"/>
      <c r="O757" s="317"/>
      <c r="P757" s="317"/>
      <c r="Q757" s="317"/>
      <c r="R757" s="317"/>
      <c r="S757" s="317"/>
      <c r="T757" s="317"/>
    </row>
    <row r="758" ht="15.75" customHeight="1">
      <c r="A758" s="317"/>
      <c r="B758" s="318"/>
      <c r="C758" s="317"/>
      <c r="D758" s="317"/>
      <c r="E758" s="318"/>
      <c r="F758" s="318"/>
      <c r="G758" s="317"/>
      <c r="H758" s="327"/>
      <c r="I758" s="321"/>
      <c r="J758" s="328"/>
      <c r="K758" s="328"/>
      <c r="L758" s="317"/>
      <c r="M758" s="317"/>
      <c r="N758" s="317"/>
      <c r="O758" s="317"/>
      <c r="P758" s="317"/>
      <c r="Q758" s="317"/>
      <c r="R758" s="317"/>
      <c r="S758" s="317"/>
      <c r="T758" s="317"/>
    </row>
    <row r="759" ht="15.75" customHeight="1">
      <c r="A759" s="317"/>
      <c r="B759" s="318"/>
      <c r="C759" s="317"/>
      <c r="D759" s="317"/>
      <c r="E759" s="318"/>
      <c r="F759" s="318"/>
      <c r="G759" s="317"/>
      <c r="H759" s="327"/>
      <c r="I759" s="321"/>
      <c r="J759" s="328"/>
      <c r="K759" s="328"/>
      <c r="L759" s="317"/>
      <c r="M759" s="317"/>
      <c r="N759" s="317"/>
      <c r="O759" s="317"/>
      <c r="P759" s="317"/>
      <c r="Q759" s="317"/>
      <c r="R759" s="317"/>
      <c r="S759" s="317"/>
      <c r="T759" s="317"/>
    </row>
    <row r="760" ht="15.75" customHeight="1">
      <c r="A760" s="317"/>
      <c r="B760" s="318"/>
      <c r="C760" s="317"/>
      <c r="D760" s="317"/>
      <c r="E760" s="318"/>
      <c r="F760" s="318"/>
      <c r="G760" s="317"/>
      <c r="H760" s="327"/>
      <c r="I760" s="321"/>
      <c r="J760" s="328"/>
      <c r="K760" s="328"/>
      <c r="L760" s="317"/>
      <c r="M760" s="317"/>
      <c r="N760" s="317"/>
      <c r="O760" s="317"/>
      <c r="P760" s="317"/>
      <c r="Q760" s="317"/>
      <c r="R760" s="317"/>
      <c r="S760" s="317"/>
      <c r="T760" s="317"/>
    </row>
    <row r="761" ht="15.75" customHeight="1">
      <c r="A761" s="317"/>
      <c r="B761" s="318"/>
      <c r="C761" s="317"/>
      <c r="D761" s="317"/>
      <c r="E761" s="318"/>
      <c r="F761" s="318"/>
      <c r="G761" s="317"/>
      <c r="H761" s="327"/>
      <c r="I761" s="321"/>
      <c r="J761" s="328"/>
      <c r="K761" s="328"/>
      <c r="L761" s="317"/>
      <c r="M761" s="317"/>
      <c r="N761" s="317"/>
      <c r="O761" s="317"/>
      <c r="P761" s="317"/>
      <c r="Q761" s="317"/>
      <c r="R761" s="317"/>
      <c r="S761" s="317"/>
      <c r="T761" s="317"/>
    </row>
    <row r="762" ht="15.75" customHeight="1">
      <c r="A762" s="317"/>
      <c r="B762" s="318"/>
      <c r="C762" s="317"/>
      <c r="D762" s="317"/>
      <c r="E762" s="318"/>
      <c r="F762" s="318"/>
      <c r="G762" s="317"/>
      <c r="H762" s="327"/>
      <c r="I762" s="321"/>
      <c r="J762" s="328"/>
      <c r="K762" s="328"/>
      <c r="L762" s="317"/>
      <c r="M762" s="317"/>
      <c r="N762" s="317"/>
      <c r="O762" s="317"/>
      <c r="P762" s="317"/>
      <c r="Q762" s="317"/>
      <c r="R762" s="317"/>
      <c r="S762" s="317"/>
      <c r="T762" s="317"/>
    </row>
    <row r="763" ht="15.75" customHeight="1">
      <c r="A763" s="317"/>
      <c r="B763" s="318"/>
      <c r="C763" s="317"/>
      <c r="D763" s="317"/>
      <c r="E763" s="318"/>
      <c r="F763" s="318"/>
      <c r="G763" s="317"/>
      <c r="H763" s="327"/>
      <c r="I763" s="321"/>
      <c r="J763" s="328"/>
      <c r="K763" s="328"/>
      <c r="L763" s="317"/>
      <c r="M763" s="317"/>
      <c r="N763" s="317"/>
      <c r="O763" s="317"/>
      <c r="P763" s="317"/>
      <c r="Q763" s="317"/>
      <c r="R763" s="317"/>
      <c r="S763" s="317"/>
      <c r="T763" s="317"/>
    </row>
    <row r="764" ht="15.75" customHeight="1">
      <c r="A764" s="317"/>
      <c r="B764" s="318"/>
      <c r="C764" s="317"/>
      <c r="D764" s="317"/>
      <c r="E764" s="318"/>
      <c r="F764" s="318"/>
      <c r="G764" s="317"/>
      <c r="H764" s="327"/>
      <c r="I764" s="321"/>
      <c r="J764" s="328"/>
      <c r="K764" s="328"/>
      <c r="L764" s="317"/>
      <c r="M764" s="317"/>
      <c r="N764" s="317"/>
      <c r="O764" s="317"/>
      <c r="P764" s="317"/>
      <c r="Q764" s="317"/>
      <c r="R764" s="317"/>
      <c r="S764" s="317"/>
      <c r="T764" s="317"/>
    </row>
    <row r="765" ht="15.75" customHeight="1">
      <c r="A765" s="317"/>
      <c r="B765" s="318"/>
      <c r="C765" s="317"/>
      <c r="D765" s="317"/>
      <c r="E765" s="318"/>
      <c r="F765" s="318"/>
      <c r="G765" s="317"/>
      <c r="H765" s="327"/>
      <c r="I765" s="321"/>
      <c r="J765" s="328"/>
      <c r="K765" s="328"/>
      <c r="L765" s="317"/>
      <c r="M765" s="317"/>
      <c r="N765" s="317"/>
      <c r="O765" s="317"/>
      <c r="P765" s="317"/>
      <c r="Q765" s="317"/>
      <c r="R765" s="317"/>
      <c r="S765" s="317"/>
      <c r="T765" s="317"/>
    </row>
    <row r="766" ht="15.75" customHeight="1">
      <c r="A766" s="317"/>
      <c r="B766" s="318"/>
      <c r="C766" s="317"/>
      <c r="D766" s="317"/>
      <c r="E766" s="318"/>
      <c r="F766" s="318"/>
      <c r="G766" s="317"/>
      <c r="H766" s="327"/>
      <c r="I766" s="321"/>
      <c r="J766" s="328"/>
      <c r="K766" s="328"/>
      <c r="L766" s="317"/>
      <c r="M766" s="317"/>
      <c r="N766" s="317"/>
      <c r="O766" s="317"/>
      <c r="P766" s="317"/>
      <c r="Q766" s="317"/>
      <c r="R766" s="317"/>
      <c r="S766" s="317"/>
      <c r="T766" s="317"/>
    </row>
    <row r="767" ht="15.75" customHeight="1">
      <c r="A767" s="317"/>
      <c r="B767" s="318"/>
      <c r="C767" s="317"/>
      <c r="D767" s="317"/>
      <c r="E767" s="318"/>
      <c r="F767" s="318"/>
      <c r="G767" s="317"/>
      <c r="H767" s="327"/>
      <c r="I767" s="321"/>
      <c r="J767" s="328"/>
      <c r="K767" s="328"/>
      <c r="L767" s="317"/>
      <c r="M767" s="317"/>
      <c r="N767" s="317"/>
      <c r="O767" s="317"/>
      <c r="P767" s="317"/>
      <c r="Q767" s="317"/>
      <c r="R767" s="317"/>
      <c r="S767" s="317"/>
      <c r="T767" s="317"/>
    </row>
    <row r="768" ht="15.75" customHeight="1">
      <c r="A768" s="317"/>
      <c r="B768" s="318"/>
      <c r="C768" s="317"/>
      <c r="D768" s="317"/>
      <c r="E768" s="318"/>
      <c r="F768" s="318"/>
      <c r="G768" s="317"/>
      <c r="H768" s="327"/>
      <c r="I768" s="321"/>
      <c r="J768" s="328"/>
      <c r="K768" s="328"/>
      <c r="L768" s="317"/>
      <c r="M768" s="317"/>
      <c r="N768" s="317"/>
      <c r="O768" s="317"/>
      <c r="P768" s="317"/>
      <c r="Q768" s="317"/>
      <c r="R768" s="317"/>
      <c r="S768" s="317"/>
      <c r="T768" s="317"/>
    </row>
    <row r="769" ht="15.75" customHeight="1">
      <c r="A769" s="317"/>
      <c r="B769" s="318"/>
      <c r="C769" s="317"/>
      <c r="D769" s="317"/>
      <c r="E769" s="318"/>
      <c r="F769" s="318"/>
      <c r="G769" s="317"/>
      <c r="H769" s="327"/>
      <c r="I769" s="321"/>
      <c r="J769" s="328"/>
      <c r="K769" s="328"/>
      <c r="L769" s="317"/>
      <c r="M769" s="317"/>
      <c r="N769" s="317"/>
      <c r="O769" s="317"/>
      <c r="P769" s="317"/>
      <c r="Q769" s="317"/>
      <c r="R769" s="317"/>
      <c r="S769" s="317"/>
      <c r="T769" s="317"/>
    </row>
    <row r="770" ht="15.75" customHeight="1">
      <c r="A770" s="317"/>
      <c r="B770" s="318"/>
      <c r="C770" s="317"/>
      <c r="D770" s="317"/>
      <c r="E770" s="318"/>
      <c r="F770" s="318"/>
      <c r="G770" s="317"/>
      <c r="H770" s="327"/>
      <c r="I770" s="321"/>
      <c r="J770" s="328"/>
      <c r="K770" s="328"/>
      <c r="L770" s="317"/>
      <c r="M770" s="317"/>
      <c r="N770" s="317"/>
      <c r="O770" s="317"/>
      <c r="P770" s="317"/>
      <c r="Q770" s="317"/>
      <c r="R770" s="317"/>
      <c r="S770" s="317"/>
      <c r="T770" s="317"/>
    </row>
    <row r="771" ht="15.75" customHeight="1">
      <c r="A771" s="317"/>
      <c r="B771" s="318"/>
      <c r="C771" s="317"/>
      <c r="D771" s="317"/>
      <c r="E771" s="318"/>
      <c r="F771" s="318"/>
      <c r="G771" s="317"/>
      <c r="H771" s="327"/>
      <c r="I771" s="321"/>
      <c r="J771" s="328"/>
      <c r="K771" s="328"/>
      <c r="L771" s="317"/>
      <c r="M771" s="317"/>
      <c r="N771" s="317"/>
      <c r="O771" s="317"/>
      <c r="P771" s="317"/>
      <c r="Q771" s="317"/>
      <c r="R771" s="317"/>
      <c r="S771" s="317"/>
      <c r="T771" s="317"/>
    </row>
    <row r="772" ht="15.75" customHeight="1">
      <c r="A772" s="317"/>
      <c r="B772" s="318"/>
      <c r="C772" s="317"/>
      <c r="D772" s="317"/>
      <c r="E772" s="318"/>
      <c r="F772" s="318"/>
      <c r="G772" s="317"/>
      <c r="H772" s="327"/>
      <c r="I772" s="321"/>
      <c r="J772" s="328"/>
      <c r="K772" s="328"/>
      <c r="L772" s="317"/>
      <c r="M772" s="317"/>
      <c r="N772" s="317"/>
      <c r="O772" s="317"/>
      <c r="P772" s="317"/>
      <c r="Q772" s="317"/>
      <c r="R772" s="317"/>
      <c r="S772" s="317"/>
      <c r="T772" s="317"/>
    </row>
    <row r="773" ht="15.75" customHeight="1">
      <c r="A773" s="317"/>
      <c r="B773" s="318"/>
      <c r="C773" s="317"/>
      <c r="D773" s="317"/>
      <c r="E773" s="318"/>
      <c r="F773" s="318"/>
      <c r="G773" s="317"/>
      <c r="H773" s="327"/>
      <c r="I773" s="321"/>
      <c r="J773" s="328"/>
      <c r="K773" s="328"/>
      <c r="L773" s="317"/>
      <c r="M773" s="317"/>
      <c r="N773" s="317"/>
      <c r="O773" s="317"/>
      <c r="P773" s="317"/>
      <c r="Q773" s="317"/>
      <c r="R773" s="317"/>
      <c r="S773" s="317"/>
      <c r="T773" s="317"/>
    </row>
    <row r="774" ht="15.75" customHeight="1">
      <c r="A774" s="317"/>
      <c r="B774" s="318"/>
      <c r="C774" s="317"/>
      <c r="D774" s="317"/>
      <c r="E774" s="318"/>
      <c r="F774" s="318"/>
      <c r="G774" s="317"/>
      <c r="H774" s="327"/>
      <c r="I774" s="321"/>
      <c r="J774" s="328"/>
      <c r="K774" s="328"/>
      <c r="L774" s="317"/>
      <c r="M774" s="317"/>
      <c r="N774" s="317"/>
      <c r="O774" s="317"/>
      <c r="P774" s="317"/>
      <c r="Q774" s="317"/>
      <c r="R774" s="317"/>
      <c r="S774" s="317"/>
      <c r="T774" s="317"/>
    </row>
    <row r="775" ht="15.75" customHeight="1">
      <c r="A775" s="317"/>
      <c r="B775" s="318"/>
      <c r="C775" s="317"/>
      <c r="D775" s="317"/>
      <c r="E775" s="318"/>
      <c r="F775" s="318"/>
      <c r="G775" s="317"/>
      <c r="H775" s="327"/>
      <c r="I775" s="321"/>
      <c r="J775" s="328"/>
      <c r="K775" s="328"/>
      <c r="L775" s="317"/>
      <c r="M775" s="317"/>
      <c r="N775" s="317"/>
      <c r="O775" s="317"/>
      <c r="P775" s="317"/>
      <c r="Q775" s="317"/>
      <c r="R775" s="317"/>
      <c r="S775" s="317"/>
      <c r="T775" s="317"/>
    </row>
    <row r="776" ht="15.75" customHeight="1">
      <c r="A776" s="317"/>
      <c r="B776" s="318"/>
      <c r="C776" s="317"/>
      <c r="D776" s="317"/>
      <c r="E776" s="318"/>
      <c r="F776" s="318"/>
      <c r="G776" s="317"/>
      <c r="H776" s="327"/>
      <c r="I776" s="321"/>
      <c r="J776" s="328"/>
      <c r="K776" s="328"/>
      <c r="L776" s="317"/>
      <c r="M776" s="317"/>
      <c r="N776" s="317"/>
      <c r="O776" s="317"/>
      <c r="P776" s="317"/>
      <c r="Q776" s="317"/>
      <c r="R776" s="317"/>
      <c r="S776" s="317"/>
      <c r="T776" s="317"/>
    </row>
    <row r="777" ht="15.75" customHeight="1">
      <c r="A777" s="317"/>
      <c r="B777" s="318"/>
      <c r="C777" s="317"/>
      <c r="D777" s="317"/>
      <c r="E777" s="318"/>
      <c r="F777" s="318"/>
      <c r="G777" s="317"/>
      <c r="H777" s="327"/>
      <c r="I777" s="321"/>
      <c r="J777" s="328"/>
      <c r="K777" s="328"/>
      <c r="L777" s="317"/>
      <c r="M777" s="317"/>
      <c r="N777" s="317"/>
      <c r="O777" s="317"/>
      <c r="P777" s="317"/>
      <c r="Q777" s="317"/>
      <c r="R777" s="317"/>
      <c r="S777" s="317"/>
      <c r="T777" s="317"/>
    </row>
    <row r="778" ht="15.75" customHeight="1">
      <c r="A778" s="317"/>
      <c r="B778" s="318"/>
      <c r="C778" s="317"/>
      <c r="D778" s="317"/>
      <c r="E778" s="318"/>
      <c r="F778" s="318"/>
      <c r="G778" s="317"/>
      <c r="H778" s="327"/>
      <c r="I778" s="321"/>
      <c r="J778" s="328"/>
      <c r="K778" s="328"/>
      <c r="L778" s="317"/>
      <c r="M778" s="317"/>
      <c r="N778" s="317"/>
      <c r="O778" s="317"/>
      <c r="P778" s="317"/>
      <c r="Q778" s="317"/>
      <c r="R778" s="317"/>
      <c r="S778" s="317"/>
      <c r="T778" s="317"/>
    </row>
    <row r="779" ht="15.75" customHeight="1">
      <c r="A779" s="317"/>
      <c r="B779" s="318"/>
      <c r="C779" s="317"/>
      <c r="D779" s="317"/>
      <c r="E779" s="318"/>
      <c r="F779" s="318"/>
      <c r="G779" s="317"/>
      <c r="H779" s="327"/>
      <c r="I779" s="321"/>
      <c r="J779" s="328"/>
      <c r="K779" s="328"/>
      <c r="L779" s="317"/>
      <c r="M779" s="317"/>
      <c r="N779" s="317"/>
      <c r="O779" s="317"/>
      <c r="P779" s="317"/>
      <c r="Q779" s="317"/>
      <c r="R779" s="317"/>
      <c r="S779" s="317"/>
      <c r="T779" s="317"/>
    </row>
    <row r="780" ht="15.75" customHeight="1">
      <c r="A780" s="317"/>
      <c r="B780" s="318"/>
      <c r="C780" s="317"/>
      <c r="D780" s="317"/>
      <c r="E780" s="318"/>
      <c r="F780" s="318"/>
      <c r="G780" s="317"/>
      <c r="H780" s="327"/>
      <c r="I780" s="321"/>
      <c r="J780" s="328"/>
      <c r="K780" s="328"/>
      <c r="L780" s="317"/>
      <c r="M780" s="317"/>
      <c r="N780" s="317"/>
      <c r="O780" s="317"/>
      <c r="P780" s="317"/>
      <c r="Q780" s="317"/>
      <c r="R780" s="317"/>
      <c r="S780" s="317"/>
      <c r="T780" s="317"/>
    </row>
    <row r="781" ht="15.75" customHeight="1">
      <c r="A781" s="317"/>
      <c r="B781" s="318"/>
      <c r="C781" s="317"/>
      <c r="D781" s="317"/>
      <c r="E781" s="318"/>
      <c r="F781" s="318"/>
      <c r="G781" s="317"/>
      <c r="H781" s="327"/>
      <c r="I781" s="321"/>
      <c r="J781" s="328"/>
      <c r="K781" s="328"/>
      <c r="L781" s="317"/>
      <c r="M781" s="317"/>
      <c r="N781" s="317"/>
      <c r="O781" s="317"/>
      <c r="P781" s="317"/>
      <c r="Q781" s="317"/>
      <c r="R781" s="317"/>
      <c r="S781" s="317"/>
      <c r="T781" s="317"/>
    </row>
    <row r="782" ht="15.75" customHeight="1">
      <c r="A782" s="317"/>
      <c r="B782" s="318"/>
      <c r="C782" s="317"/>
      <c r="D782" s="317"/>
      <c r="E782" s="318"/>
      <c r="F782" s="318"/>
      <c r="G782" s="317"/>
      <c r="H782" s="327"/>
      <c r="I782" s="321"/>
      <c r="J782" s="328"/>
      <c r="K782" s="328"/>
      <c r="L782" s="317"/>
      <c r="M782" s="317"/>
      <c r="N782" s="317"/>
      <c r="O782" s="317"/>
      <c r="P782" s="317"/>
      <c r="Q782" s="317"/>
      <c r="R782" s="317"/>
      <c r="S782" s="317"/>
      <c r="T782" s="317"/>
    </row>
    <row r="783" ht="15.75" customHeight="1">
      <c r="A783" s="317"/>
      <c r="B783" s="318"/>
      <c r="C783" s="317"/>
      <c r="D783" s="317"/>
      <c r="E783" s="318"/>
      <c r="F783" s="318"/>
      <c r="G783" s="317"/>
      <c r="H783" s="327"/>
      <c r="I783" s="321"/>
      <c r="J783" s="328"/>
      <c r="K783" s="328"/>
      <c r="L783" s="317"/>
      <c r="M783" s="317"/>
      <c r="N783" s="317"/>
      <c r="O783" s="317"/>
      <c r="P783" s="317"/>
      <c r="Q783" s="317"/>
      <c r="R783" s="317"/>
      <c r="S783" s="317"/>
      <c r="T783" s="317"/>
    </row>
    <row r="784" ht="15.75" customHeight="1">
      <c r="A784" s="317"/>
      <c r="B784" s="318"/>
      <c r="C784" s="317"/>
      <c r="D784" s="317"/>
      <c r="E784" s="318"/>
      <c r="F784" s="318"/>
      <c r="G784" s="317"/>
      <c r="H784" s="327"/>
      <c r="I784" s="321"/>
      <c r="J784" s="328"/>
      <c r="K784" s="328"/>
      <c r="L784" s="317"/>
      <c r="M784" s="317"/>
      <c r="N784" s="317"/>
      <c r="O784" s="317"/>
      <c r="P784" s="317"/>
      <c r="Q784" s="317"/>
      <c r="R784" s="317"/>
      <c r="S784" s="317"/>
      <c r="T784" s="317"/>
    </row>
    <row r="785" ht="15.75" customHeight="1">
      <c r="A785" s="317"/>
      <c r="B785" s="318"/>
      <c r="C785" s="317"/>
      <c r="D785" s="317"/>
      <c r="E785" s="318"/>
      <c r="F785" s="318"/>
      <c r="G785" s="317"/>
      <c r="H785" s="327"/>
      <c r="I785" s="321"/>
      <c r="J785" s="328"/>
      <c r="K785" s="328"/>
      <c r="L785" s="317"/>
      <c r="M785" s="317"/>
      <c r="N785" s="317"/>
      <c r="O785" s="317"/>
      <c r="P785" s="317"/>
      <c r="Q785" s="317"/>
      <c r="R785" s="317"/>
      <c r="S785" s="317"/>
      <c r="T785" s="317"/>
    </row>
    <row r="786" ht="15.75" customHeight="1">
      <c r="A786" s="317"/>
      <c r="B786" s="318"/>
      <c r="C786" s="317"/>
      <c r="D786" s="317"/>
      <c r="E786" s="318"/>
      <c r="F786" s="318"/>
      <c r="G786" s="317"/>
      <c r="H786" s="327"/>
      <c r="I786" s="321"/>
      <c r="J786" s="328"/>
      <c r="K786" s="328"/>
      <c r="L786" s="317"/>
      <c r="M786" s="317"/>
      <c r="N786" s="317"/>
      <c r="O786" s="317"/>
      <c r="P786" s="317"/>
      <c r="Q786" s="317"/>
      <c r="R786" s="317"/>
      <c r="S786" s="317"/>
      <c r="T786" s="317"/>
    </row>
    <row r="787" ht="15.75" customHeight="1">
      <c r="A787" s="317"/>
      <c r="B787" s="318"/>
      <c r="C787" s="317"/>
      <c r="D787" s="317"/>
      <c r="E787" s="318"/>
      <c r="F787" s="318"/>
      <c r="G787" s="317"/>
      <c r="H787" s="327"/>
      <c r="I787" s="321"/>
      <c r="J787" s="328"/>
      <c r="K787" s="328"/>
      <c r="L787" s="317"/>
      <c r="M787" s="317"/>
      <c r="N787" s="317"/>
      <c r="O787" s="317"/>
      <c r="P787" s="317"/>
      <c r="Q787" s="317"/>
      <c r="R787" s="317"/>
      <c r="S787" s="317"/>
      <c r="T787" s="317"/>
    </row>
    <row r="788" ht="15.75" customHeight="1">
      <c r="A788" s="317"/>
      <c r="B788" s="318"/>
      <c r="C788" s="317"/>
      <c r="D788" s="317"/>
      <c r="E788" s="318"/>
      <c r="F788" s="318"/>
      <c r="G788" s="317"/>
      <c r="H788" s="327"/>
      <c r="I788" s="321"/>
      <c r="J788" s="328"/>
      <c r="K788" s="328"/>
      <c r="L788" s="317"/>
      <c r="M788" s="317"/>
      <c r="N788" s="317"/>
      <c r="O788" s="317"/>
      <c r="P788" s="317"/>
      <c r="Q788" s="317"/>
      <c r="R788" s="317"/>
      <c r="S788" s="317"/>
      <c r="T788" s="317"/>
    </row>
    <row r="789" ht="15.75" customHeight="1">
      <c r="A789" s="317"/>
      <c r="B789" s="318"/>
      <c r="C789" s="317"/>
      <c r="D789" s="317"/>
      <c r="E789" s="318"/>
      <c r="F789" s="318"/>
      <c r="G789" s="317"/>
      <c r="H789" s="327"/>
      <c r="I789" s="321"/>
      <c r="J789" s="328"/>
      <c r="K789" s="328"/>
      <c r="L789" s="317"/>
      <c r="M789" s="317"/>
      <c r="N789" s="317"/>
      <c r="O789" s="317"/>
      <c r="P789" s="317"/>
      <c r="Q789" s="317"/>
      <c r="R789" s="317"/>
      <c r="S789" s="317"/>
      <c r="T789" s="317"/>
    </row>
    <row r="790" ht="15.75" customHeight="1">
      <c r="A790" s="317"/>
      <c r="B790" s="318"/>
      <c r="C790" s="317"/>
      <c r="D790" s="317"/>
      <c r="E790" s="318"/>
      <c r="F790" s="318"/>
      <c r="G790" s="317"/>
      <c r="H790" s="327"/>
      <c r="I790" s="321"/>
      <c r="J790" s="328"/>
      <c r="K790" s="328"/>
      <c r="L790" s="317"/>
      <c r="M790" s="317"/>
      <c r="N790" s="317"/>
      <c r="O790" s="317"/>
      <c r="P790" s="317"/>
      <c r="Q790" s="317"/>
      <c r="R790" s="317"/>
      <c r="S790" s="317"/>
      <c r="T790" s="317"/>
    </row>
    <row r="791" ht="15.75" customHeight="1">
      <c r="A791" s="317"/>
      <c r="B791" s="318"/>
      <c r="C791" s="317"/>
      <c r="D791" s="317"/>
      <c r="E791" s="318"/>
      <c r="F791" s="318"/>
      <c r="G791" s="317"/>
      <c r="H791" s="327"/>
      <c r="I791" s="321"/>
      <c r="J791" s="328"/>
      <c r="K791" s="328"/>
      <c r="L791" s="317"/>
      <c r="M791" s="317"/>
      <c r="N791" s="317"/>
      <c r="O791" s="317"/>
      <c r="P791" s="317"/>
      <c r="Q791" s="317"/>
      <c r="R791" s="317"/>
      <c r="S791" s="317"/>
      <c r="T791" s="317"/>
    </row>
    <row r="792" ht="15.75" customHeight="1">
      <c r="A792" s="317"/>
      <c r="B792" s="318"/>
      <c r="C792" s="317"/>
      <c r="D792" s="317"/>
      <c r="E792" s="318"/>
      <c r="F792" s="318"/>
      <c r="G792" s="317"/>
      <c r="H792" s="327"/>
      <c r="I792" s="321"/>
      <c r="J792" s="328"/>
      <c r="K792" s="328"/>
      <c r="L792" s="317"/>
      <c r="M792" s="317"/>
      <c r="N792" s="317"/>
      <c r="O792" s="317"/>
      <c r="P792" s="317"/>
      <c r="Q792" s="317"/>
      <c r="R792" s="317"/>
      <c r="S792" s="317"/>
      <c r="T792" s="317"/>
    </row>
    <row r="793" ht="15.75" customHeight="1">
      <c r="A793" s="317"/>
      <c r="B793" s="318"/>
      <c r="C793" s="317"/>
      <c r="D793" s="317"/>
      <c r="E793" s="318"/>
      <c r="F793" s="318"/>
      <c r="G793" s="317"/>
      <c r="H793" s="327"/>
      <c r="I793" s="321"/>
      <c r="J793" s="328"/>
      <c r="K793" s="328"/>
      <c r="L793" s="317"/>
      <c r="M793" s="317"/>
      <c r="N793" s="317"/>
      <c r="O793" s="317"/>
      <c r="P793" s="317"/>
      <c r="Q793" s="317"/>
      <c r="R793" s="317"/>
      <c r="S793" s="317"/>
      <c r="T793" s="317"/>
    </row>
    <row r="794" ht="15.75" customHeight="1">
      <c r="A794" s="317"/>
      <c r="B794" s="318"/>
      <c r="C794" s="317"/>
      <c r="D794" s="317"/>
      <c r="E794" s="318"/>
      <c r="F794" s="318"/>
      <c r="G794" s="317"/>
      <c r="H794" s="327"/>
      <c r="I794" s="321"/>
      <c r="J794" s="328"/>
      <c r="K794" s="328"/>
      <c r="L794" s="317"/>
      <c r="M794" s="317"/>
      <c r="N794" s="317"/>
      <c r="O794" s="317"/>
      <c r="P794" s="317"/>
      <c r="Q794" s="317"/>
      <c r="R794" s="317"/>
      <c r="S794" s="317"/>
      <c r="T794" s="317"/>
    </row>
    <row r="795" ht="15.75" customHeight="1">
      <c r="A795" s="317"/>
      <c r="B795" s="318"/>
      <c r="C795" s="317"/>
      <c r="D795" s="317"/>
      <c r="E795" s="318"/>
      <c r="F795" s="318"/>
      <c r="G795" s="317"/>
      <c r="H795" s="327"/>
      <c r="I795" s="321"/>
      <c r="J795" s="328"/>
      <c r="K795" s="328"/>
      <c r="L795" s="317"/>
      <c r="M795" s="317"/>
      <c r="N795" s="317"/>
      <c r="O795" s="317"/>
      <c r="P795" s="317"/>
      <c r="Q795" s="317"/>
      <c r="R795" s="317"/>
      <c r="S795" s="317"/>
      <c r="T795" s="317"/>
    </row>
    <row r="796" ht="15.75" customHeight="1">
      <c r="A796" s="317"/>
      <c r="B796" s="318"/>
      <c r="C796" s="317"/>
      <c r="D796" s="317"/>
      <c r="E796" s="318"/>
      <c r="F796" s="318"/>
      <c r="G796" s="317"/>
      <c r="H796" s="327"/>
      <c r="I796" s="321"/>
      <c r="J796" s="328"/>
      <c r="K796" s="328"/>
      <c r="L796" s="317"/>
      <c r="M796" s="317"/>
      <c r="N796" s="317"/>
      <c r="O796" s="317"/>
      <c r="P796" s="317"/>
      <c r="Q796" s="317"/>
      <c r="R796" s="317"/>
      <c r="S796" s="317"/>
      <c r="T796" s="317"/>
    </row>
    <row r="797" ht="15.75" customHeight="1">
      <c r="A797" s="317"/>
      <c r="B797" s="318"/>
      <c r="C797" s="317"/>
      <c r="D797" s="317"/>
      <c r="E797" s="318"/>
      <c r="F797" s="318"/>
      <c r="G797" s="317"/>
      <c r="H797" s="327"/>
      <c r="I797" s="321"/>
      <c r="J797" s="328"/>
      <c r="K797" s="328"/>
      <c r="L797" s="317"/>
      <c r="M797" s="317"/>
      <c r="N797" s="317"/>
      <c r="O797" s="317"/>
      <c r="P797" s="317"/>
      <c r="Q797" s="317"/>
      <c r="R797" s="317"/>
      <c r="S797" s="317"/>
      <c r="T797" s="317"/>
    </row>
    <row r="798" ht="15.75" customHeight="1">
      <c r="A798" s="317"/>
      <c r="B798" s="318"/>
      <c r="C798" s="317"/>
      <c r="D798" s="317"/>
      <c r="E798" s="318"/>
      <c r="F798" s="318"/>
      <c r="G798" s="317"/>
      <c r="H798" s="327"/>
      <c r="I798" s="321"/>
      <c r="J798" s="328"/>
      <c r="K798" s="328"/>
      <c r="L798" s="317"/>
      <c r="M798" s="317"/>
      <c r="N798" s="317"/>
      <c r="O798" s="317"/>
      <c r="P798" s="317"/>
      <c r="Q798" s="317"/>
      <c r="R798" s="317"/>
      <c r="S798" s="317"/>
      <c r="T798" s="317"/>
    </row>
    <row r="799" ht="15.75" customHeight="1">
      <c r="A799" s="317"/>
      <c r="B799" s="318"/>
      <c r="C799" s="317"/>
      <c r="D799" s="317"/>
      <c r="E799" s="318"/>
      <c r="F799" s="318"/>
      <c r="G799" s="317"/>
      <c r="H799" s="327"/>
      <c r="I799" s="321"/>
      <c r="J799" s="328"/>
      <c r="K799" s="328"/>
      <c r="L799" s="317"/>
      <c r="M799" s="317"/>
      <c r="N799" s="317"/>
      <c r="O799" s="317"/>
      <c r="P799" s="317"/>
      <c r="Q799" s="317"/>
      <c r="R799" s="317"/>
      <c r="S799" s="317"/>
      <c r="T799" s="317"/>
    </row>
    <row r="800" ht="15.75" customHeight="1">
      <c r="A800" s="317"/>
      <c r="B800" s="318"/>
      <c r="C800" s="317"/>
      <c r="D800" s="317"/>
      <c r="E800" s="318"/>
      <c r="F800" s="318"/>
      <c r="G800" s="317"/>
      <c r="H800" s="327"/>
      <c r="I800" s="321"/>
      <c r="J800" s="328"/>
      <c r="K800" s="328"/>
      <c r="L800" s="317"/>
      <c r="M800" s="317"/>
      <c r="N800" s="317"/>
      <c r="O800" s="317"/>
      <c r="P800" s="317"/>
      <c r="Q800" s="317"/>
      <c r="R800" s="317"/>
      <c r="S800" s="317"/>
      <c r="T800" s="317"/>
    </row>
    <row r="801" ht="15.75" customHeight="1">
      <c r="A801" s="317"/>
      <c r="B801" s="318"/>
      <c r="C801" s="317"/>
      <c r="D801" s="317"/>
      <c r="E801" s="318"/>
      <c r="F801" s="318"/>
      <c r="G801" s="317"/>
      <c r="H801" s="327"/>
      <c r="I801" s="321"/>
      <c r="J801" s="328"/>
      <c r="K801" s="328"/>
      <c r="L801" s="317"/>
      <c r="M801" s="317"/>
      <c r="N801" s="317"/>
      <c r="O801" s="317"/>
      <c r="P801" s="317"/>
      <c r="Q801" s="317"/>
      <c r="R801" s="317"/>
      <c r="S801" s="317"/>
      <c r="T801" s="317"/>
    </row>
    <row r="802" ht="15.75" customHeight="1">
      <c r="A802" s="317"/>
      <c r="B802" s="318"/>
      <c r="C802" s="317"/>
      <c r="D802" s="317"/>
      <c r="E802" s="318"/>
      <c r="F802" s="318"/>
      <c r="G802" s="317"/>
      <c r="H802" s="327"/>
      <c r="I802" s="321"/>
      <c r="J802" s="328"/>
      <c r="K802" s="328"/>
      <c r="L802" s="317"/>
      <c r="M802" s="317"/>
      <c r="N802" s="317"/>
      <c r="O802" s="317"/>
      <c r="P802" s="317"/>
      <c r="Q802" s="317"/>
      <c r="R802" s="317"/>
      <c r="S802" s="317"/>
      <c r="T802" s="317"/>
    </row>
    <row r="803" ht="15.75" customHeight="1">
      <c r="A803" s="317"/>
      <c r="B803" s="318"/>
      <c r="C803" s="317"/>
      <c r="D803" s="317"/>
      <c r="E803" s="318"/>
      <c r="F803" s="318"/>
      <c r="G803" s="317"/>
      <c r="H803" s="327"/>
      <c r="I803" s="321"/>
      <c r="J803" s="328"/>
      <c r="K803" s="328"/>
      <c r="L803" s="317"/>
      <c r="M803" s="317"/>
      <c r="N803" s="317"/>
      <c r="O803" s="317"/>
      <c r="P803" s="317"/>
      <c r="Q803" s="317"/>
      <c r="R803" s="317"/>
      <c r="S803" s="317"/>
      <c r="T803" s="317"/>
    </row>
    <row r="804" ht="15.75" customHeight="1">
      <c r="A804" s="317"/>
      <c r="B804" s="318"/>
      <c r="C804" s="317"/>
      <c r="D804" s="317"/>
      <c r="E804" s="318"/>
      <c r="F804" s="318"/>
      <c r="G804" s="317"/>
      <c r="H804" s="327"/>
      <c r="I804" s="321"/>
      <c r="J804" s="328"/>
      <c r="K804" s="328"/>
      <c r="L804" s="317"/>
      <c r="M804" s="317"/>
      <c r="N804" s="317"/>
      <c r="O804" s="317"/>
      <c r="P804" s="317"/>
      <c r="Q804" s="317"/>
      <c r="R804" s="317"/>
      <c r="S804" s="317"/>
      <c r="T804" s="317"/>
    </row>
    <row r="805" ht="15.75" customHeight="1">
      <c r="A805" s="317"/>
      <c r="B805" s="318"/>
      <c r="C805" s="317"/>
      <c r="D805" s="317"/>
      <c r="E805" s="318"/>
      <c r="F805" s="318"/>
      <c r="G805" s="317"/>
      <c r="H805" s="327"/>
      <c r="I805" s="321"/>
      <c r="J805" s="328"/>
      <c r="K805" s="328"/>
      <c r="L805" s="317"/>
      <c r="M805" s="317"/>
      <c r="N805" s="317"/>
      <c r="O805" s="317"/>
      <c r="P805" s="317"/>
      <c r="Q805" s="317"/>
      <c r="R805" s="317"/>
      <c r="S805" s="317"/>
      <c r="T805" s="317"/>
    </row>
    <row r="806" ht="15.75" customHeight="1">
      <c r="A806" s="317"/>
      <c r="B806" s="318"/>
      <c r="C806" s="317"/>
      <c r="D806" s="317"/>
      <c r="E806" s="318"/>
      <c r="F806" s="318"/>
      <c r="G806" s="317"/>
      <c r="H806" s="327"/>
      <c r="I806" s="321"/>
      <c r="J806" s="328"/>
      <c r="K806" s="328"/>
      <c r="L806" s="317"/>
      <c r="M806" s="317"/>
      <c r="N806" s="317"/>
      <c r="O806" s="317"/>
      <c r="P806" s="317"/>
      <c r="Q806" s="317"/>
      <c r="R806" s="317"/>
      <c r="S806" s="317"/>
      <c r="T806" s="317"/>
    </row>
    <row r="807" ht="15.75" customHeight="1">
      <c r="A807" s="317"/>
      <c r="B807" s="318"/>
      <c r="C807" s="317"/>
      <c r="D807" s="317"/>
      <c r="E807" s="318"/>
      <c r="F807" s="318"/>
      <c r="G807" s="317"/>
      <c r="H807" s="327"/>
      <c r="I807" s="321"/>
      <c r="J807" s="328"/>
      <c r="K807" s="328"/>
      <c r="L807" s="317"/>
      <c r="M807" s="317"/>
      <c r="N807" s="317"/>
      <c r="O807" s="317"/>
      <c r="P807" s="317"/>
      <c r="Q807" s="317"/>
      <c r="R807" s="317"/>
      <c r="S807" s="317"/>
      <c r="T807" s="317"/>
    </row>
    <row r="808" ht="15.75" customHeight="1">
      <c r="A808" s="317"/>
      <c r="B808" s="318"/>
      <c r="C808" s="317"/>
      <c r="D808" s="317"/>
      <c r="E808" s="318"/>
      <c r="F808" s="318"/>
      <c r="G808" s="317"/>
      <c r="H808" s="327"/>
      <c r="I808" s="321"/>
      <c r="J808" s="328"/>
      <c r="K808" s="328"/>
      <c r="L808" s="317"/>
      <c r="M808" s="317"/>
      <c r="N808" s="317"/>
      <c r="O808" s="317"/>
      <c r="P808" s="317"/>
      <c r="Q808" s="317"/>
      <c r="R808" s="317"/>
      <c r="S808" s="317"/>
      <c r="T808" s="317"/>
    </row>
    <row r="809" ht="15.75" customHeight="1">
      <c r="A809" s="317"/>
      <c r="B809" s="318"/>
      <c r="C809" s="317"/>
      <c r="D809" s="317"/>
      <c r="E809" s="318"/>
      <c r="F809" s="318"/>
      <c r="G809" s="317"/>
      <c r="H809" s="327"/>
      <c r="I809" s="321"/>
      <c r="J809" s="328"/>
      <c r="K809" s="328"/>
      <c r="L809" s="317"/>
      <c r="M809" s="317"/>
      <c r="N809" s="317"/>
      <c r="O809" s="317"/>
      <c r="P809" s="317"/>
      <c r="Q809" s="317"/>
      <c r="R809" s="317"/>
      <c r="S809" s="317"/>
      <c r="T809" s="317"/>
    </row>
    <row r="810" ht="15.75" customHeight="1">
      <c r="A810" s="317"/>
      <c r="B810" s="318"/>
      <c r="C810" s="317"/>
      <c r="D810" s="317"/>
      <c r="E810" s="318"/>
      <c r="F810" s="318"/>
      <c r="G810" s="317"/>
      <c r="H810" s="327"/>
      <c r="I810" s="321"/>
      <c r="J810" s="328"/>
      <c r="K810" s="328"/>
      <c r="L810" s="317"/>
      <c r="M810" s="317"/>
      <c r="N810" s="317"/>
      <c r="O810" s="317"/>
      <c r="P810" s="317"/>
      <c r="Q810" s="317"/>
      <c r="R810" s="317"/>
      <c r="S810" s="317"/>
      <c r="T810" s="317"/>
    </row>
    <row r="811" ht="15.75" customHeight="1">
      <c r="A811" s="317"/>
      <c r="B811" s="318"/>
      <c r="C811" s="317"/>
      <c r="D811" s="317"/>
      <c r="E811" s="318"/>
      <c r="F811" s="318"/>
      <c r="G811" s="317"/>
      <c r="H811" s="327"/>
      <c r="I811" s="321"/>
      <c r="J811" s="328"/>
      <c r="K811" s="328"/>
      <c r="L811" s="317"/>
      <c r="M811" s="317"/>
      <c r="N811" s="317"/>
      <c r="O811" s="317"/>
      <c r="P811" s="317"/>
      <c r="Q811" s="317"/>
      <c r="R811" s="317"/>
      <c r="S811" s="317"/>
      <c r="T811" s="317"/>
    </row>
    <row r="812" ht="15.75" customHeight="1">
      <c r="A812" s="317"/>
      <c r="B812" s="318"/>
      <c r="C812" s="317"/>
      <c r="D812" s="317"/>
      <c r="E812" s="318"/>
      <c r="F812" s="318"/>
      <c r="G812" s="317"/>
      <c r="H812" s="327"/>
      <c r="I812" s="321"/>
      <c r="J812" s="328"/>
      <c r="K812" s="328"/>
      <c r="L812" s="317"/>
      <c r="M812" s="317"/>
      <c r="N812" s="317"/>
      <c r="O812" s="317"/>
      <c r="P812" s="317"/>
      <c r="Q812" s="317"/>
      <c r="R812" s="317"/>
      <c r="S812" s="317"/>
      <c r="T812" s="317"/>
    </row>
    <row r="813" ht="15.75" customHeight="1">
      <c r="A813" s="317"/>
      <c r="B813" s="318"/>
      <c r="C813" s="317"/>
      <c r="D813" s="317"/>
      <c r="E813" s="318"/>
      <c r="F813" s="318"/>
      <c r="G813" s="317"/>
      <c r="H813" s="327"/>
      <c r="I813" s="321"/>
      <c r="J813" s="328"/>
      <c r="K813" s="328"/>
      <c r="L813" s="317"/>
      <c r="M813" s="317"/>
      <c r="N813" s="317"/>
      <c r="O813" s="317"/>
      <c r="P813" s="317"/>
      <c r="Q813" s="317"/>
      <c r="R813" s="317"/>
      <c r="S813" s="317"/>
      <c r="T813" s="317"/>
    </row>
    <row r="814" ht="15.75" customHeight="1">
      <c r="A814" s="317"/>
      <c r="B814" s="318"/>
      <c r="C814" s="317"/>
      <c r="D814" s="317"/>
      <c r="E814" s="318"/>
      <c r="F814" s="318"/>
      <c r="G814" s="317"/>
      <c r="H814" s="327"/>
      <c r="I814" s="321"/>
      <c r="J814" s="328"/>
      <c r="K814" s="328"/>
      <c r="L814" s="317"/>
      <c r="M814" s="317"/>
      <c r="N814" s="317"/>
      <c r="O814" s="317"/>
      <c r="P814" s="317"/>
      <c r="Q814" s="317"/>
      <c r="R814" s="317"/>
      <c r="S814" s="317"/>
      <c r="T814" s="317"/>
    </row>
    <row r="815" ht="15.75" customHeight="1">
      <c r="A815" s="317"/>
      <c r="B815" s="318"/>
      <c r="C815" s="317"/>
      <c r="D815" s="317"/>
      <c r="E815" s="318"/>
      <c r="F815" s="318"/>
      <c r="G815" s="317"/>
      <c r="H815" s="327"/>
      <c r="I815" s="321"/>
      <c r="J815" s="328"/>
      <c r="K815" s="328"/>
      <c r="L815" s="317"/>
      <c r="M815" s="317"/>
      <c r="N815" s="317"/>
      <c r="O815" s="317"/>
      <c r="P815" s="317"/>
      <c r="Q815" s="317"/>
      <c r="R815" s="317"/>
      <c r="S815" s="317"/>
      <c r="T815" s="317"/>
    </row>
    <row r="816" ht="15.75" customHeight="1">
      <c r="A816" s="317"/>
      <c r="B816" s="318"/>
      <c r="C816" s="317"/>
      <c r="D816" s="317"/>
      <c r="E816" s="318"/>
      <c r="F816" s="318"/>
      <c r="G816" s="317"/>
      <c r="H816" s="327"/>
      <c r="I816" s="321"/>
      <c r="J816" s="328"/>
      <c r="K816" s="328"/>
      <c r="L816" s="317"/>
      <c r="M816" s="317"/>
      <c r="N816" s="317"/>
      <c r="O816" s="317"/>
      <c r="P816" s="317"/>
      <c r="Q816" s="317"/>
      <c r="R816" s="317"/>
      <c r="S816" s="317"/>
      <c r="T816" s="317"/>
    </row>
    <row r="817" ht="15.75" customHeight="1">
      <c r="A817" s="317"/>
      <c r="B817" s="318"/>
      <c r="C817" s="317"/>
      <c r="D817" s="317"/>
      <c r="E817" s="318"/>
      <c r="F817" s="318"/>
      <c r="G817" s="317"/>
      <c r="H817" s="327"/>
      <c r="I817" s="321"/>
      <c r="J817" s="328"/>
      <c r="K817" s="328"/>
      <c r="L817" s="317"/>
      <c r="M817" s="317"/>
      <c r="N817" s="317"/>
      <c r="O817" s="317"/>
      <c r="P817" s="317"/>
      <c r="Q817" s="317"/>
      <c r="R817" s="317"/>
      <c r="S817" s="317"/>
      <c r="T817" s="317"/>
    </row>
    <row r="818" ht="15.75" customHeight="1">
      <c r="A818" s="317"/>
      <c r="B818" s="318"/>
      <c r="C818" s="317"/>
      <c r="D818" s="317"/>
      <c r="E818" s="318"/>
      <c r="F818" s="318"/>
      <c r="G818" s="317"/>
      <c r="H818" s="327"/>
      <c r="I818" s="321"/>
      <c r="J818" s="328"/>
      <c r="K818" s="328"/>
      <c r="L818" s="317"/>
      <c r="M818" s="317"/>
      <c r="N818" s="317"/>
      <c r="O818" s="317"/>
      <c r="P818" s="317"/>
      <c r="Q818" s="317"/>
      <c r="R818" s="317"/>
      <c r="S818" s="317"/>
      <c r="T818" s="317"/>
    </row>
    <row r="819" ht="15.75" customHeight="1">
      <c r="A819" s="317"/>
      <c r="B819" s="318"/>
      <c r="C819" s="317"/>
      <c r="D819" s="317"/>
      <c r="E819" s="318"/>
      <c r="F819" s="318"/>
      <c r="G819" s="317"/>
      <c r="H819" s="327"/>
      <c r="I819" s="321"/>
      <c r="J819" s="328"/>
      <c r="K819" s="328"/>
      <c r="L819" s="317"/>
      <c r="M819" s="317"/>
      <c r="N819" s="317"/>
      <c r="O819" s="317"/>
      <c r="P819" s="317"/>
      <c r="Q819" s="317"/>
      <c r="R819" s="317"/>
      <c r="S819" s="317"/>
      <c r="T819" s="317"/>
    </row>
    <row r="820" ht="15.75" customHeight="1">
      <c r="A820" s="317"/>
      <c r="B820" s="318"/>
      <c r="C820" s="317"/>
      <c r="D820" s="317"/>
      <c r="E820" s="318"/>
      <c r="F820" s="318"/>
      <c r="G820" s="317"/>
      <c r="H820" s="327"/>
      <c r="I820" s="321"/>
      <c r="J820" s="328"/>
      <c r="K820" s="328"/>
      <c r="L820" s="317"/>
      <c r="M820" s="317"/>
      <c r="N820" s="317"/>
      <c r="O820" s="317"/>
      <c r="P820" s="317"/>
      <c r="Q820" s="317"/>
      <c r="R820" s="317"/>
      <c r="S820" s="317"/>
      <c r="T820" s="317"/>
    </row>
    <row r="821" ht="15.75" customHeight="1">
      <c r="A821" s="317"/>
      <c r="B821" s="318"/>
      <c r="C821" s="317"/>
      <c r="D821" s="317"/>
      <c r="E821" s="318"/>
      <c r="F821" s="318"/>
      <c r="G821" s="317"/>
      <c r="H821" s="327"/>
      <c r="I821" s="321"/>
      <c r="J821" s="328"/>
      <c r="K821" s="328"/>
      <c r="L821" s="317"/>
      <c r="M821" s="317"/>
      <c r="N821" s="317"/>
      <c r="O821" s="317"/>
      <c r="P821" s="317"/>
      <c r="Q821" s="317"/>
      <c r="R821" s="317"/>
      <c r="S821" s="317"/>
      <c r="T821" s="317"/>
    </row>
    <row r="822" ht="15.75" customHeight="1">
      <c r="A822" s="317"/>
      <c r="B822" s="318"/>
      <c r="C822" s="317"/>
      <c r="D822" s="317"/>
      <c r="E822" s="318"/>
      <c r="F822" s="318"/>
      <c r="G822" s="317"/>
      <c r="H822" s="327"/>
      <c r="I822" s="321"/>
      <c r="J822" s="328"/>
      <c r="K822" s="328"/>
      <c r="L822" s="317"/>
      <c r="M822" s="317"/>
      <c r="N822" s="317"/>
      <c r="O822" s="317"/>
      <c r="P822" s="317"/>
      <c r="Q822" s="317"/>
      <c r="R822" s="317"/>
      <c r="S822" s="317"/>
      <c r="T822" s="317"/>
    </row>
    <row r="823" ht="15.75" customHeight="1">
      <c r="A823" s="317"/>
      <c r="B823" s="318"/>
      <c r="C823" s="317"/>
      <c r="D823" s="317"/>
      <c r="E823" s="318"/>
      <c r="F823" s="318"/>
      <c r="G823" s="317"/>
      <c r="H823" s="327"/>
      <c r="I823" s="321"/>
      <c r="J823" s="328"/>
      <c r="K823" s="328"/>
      <c r="L823" s="317"/>
      <c r="M823" s="317"/>
      <c r="N823" s="317"/>
      <c r="O823" s="317"/>
      <c r="P823" s="317"/>
      <c r="Q823" s="317"/>
      <c r="R823" s="317"/>
      <c r="S823" s="317"/>
      <c r="T823" s="317"/>
    </row>
    <row r="824" ht="15.75" customHeight="1">
      <c r="A824" s="317"/>
      <c r="B824" s="318"/>
      <c r="C824" s="317"/>
      <c r="D824" s="317"/>
      <c r="E824" s="318"/>
      <c r="F824" s="318"/>
      <c r="G824" s="317"/>
      <c r="H824" s="327"/>
      <c r="I824" s="321"/>
      <c r="J824" s="328"/>
      <c r="K824" s="328"/>
      <c r="L824" s="317"/>
      <c r="M824" s="317"/>
      <c r="N824" s="317"/>
      <c r="O824" s="317"/>
      <c r="P824" s="317"/>
      <c r="Q824" s="317"/>
      <c r="R824" s="317"/>
      <c r="S824" s="317"/>
      <c r="T824" s="317"/>
    </row>
    <row r="825" ht="15.75" customHeight="1">
      <c r="A825" s="317"/>
      <c r="B825" s="318"/>
      <c r="C825" s="317"/>
      <c r="D825" s="317"/>
      <c r="E825" s="318"/>
      <c r="F825" s="318"/>
      <c r="G825" s="317"/>
      <c r="H825" s="327"/>
      <c r="I825" s="321"/>
      <c r="J825" s="328"/>
      <c r="K825" s="328"/>
      <c r="L825" s="317"/>
      <c r="M825" s="317"/>
      <c r="N825" s="317"/>
      <c r="O825" s="317"/>
      <c r="P825" s="317"/>
      <c r="Q825" s="317"/>
      <c r="R825" s="317"/>
      <c r="S825" s="317"/>
      <c r="T825" s="317"/>
    </row>
    <row r="826" ht="15.75" customHeight="1">
      <c r="A826" s="317"/>
      <c r="B826" s="318"/>
      <c r="C826" s="317"/>
      <c r="D826" s="317"/>
      <c r="E826" s="318"/>
      <c r="F826" s="318"/>
      <c r="G826" s="317"/>
      <c r="H826" s="327"/>
      <c r="I826" s="321"/>
      <c r="J826" s="328"/>
      <c r="K826" s="328"/>
      <c r="L826" s="317"/>
      <c r="M826" s="317"/>
      <c r="N826" s="317"/>
      <c r="O826" s="317"/>
      <c r="P826" s="317"/>
      <c r="Q826" s="317"/>
      <c r="R826" s="317"/>
      <c r="S826" s="317"/>
      <c r="T826" s="317"/>
    </row>
    <row r="827" ht="15.75" customHeight="1">
      <c r="A827" s="317"/>
      <c r="B827" s="318"/>
      <c r="C827" s="317"/>
      <c r="D827" s="317"/>
      <c r="E827" s="318"/>
      <c r="F827" s="318"/>
      <c r="G827" s="317"/>
      <c r="H827" s="327"/>
      <c r="I827" s="321"/>
      <c r="J827" s="328"/>
      <c r="K827" s="328"/>
      <c r="L827" s="317"/>
      <c r="M827" s="317"/>
      <c r="N827" s="317"/>
      <c r="O827" s="317"/>
      <c r="P827" s="317"/>
      <c r="Q827" s="317"/>
      <c r="R827" s="317"/>
      <c r="S827" s="317"/>
      <c r="T827" s="317"/>
    </row>
    <row r="828" ht="15.75" customHeight="1">
      <c r="A828" s="317"/>
      <c r="B828" s="318"/>
      <c r="C828" s="317"/>
      <c r="D828" s="317"/>
      <c r="E828" s="318"/>
      <c r="F828" s="318"/>
      <c r="G828" s="317"/>
      <c r="H828" s="327"/>
      <c r="I828" s="321"/>
      <c r="J828" s="328"/>
      <c r="K828" s="328"/>
      <c r="L828" s="317"/>
      <c r="M828" s="317"/>
      <c r="N828" s="317"/>
      <c r="O828" s="317"/>
      <c r="P828" s="317"/>
      <c r="Q828" s="317"/>
      <c r="R828" s="317"/>
      <c r="S828" s="317"/>
      <c r="T828" s="317"/>
    </row>
    <row r="829" ht="15.75" customHeight="1">
      <c r="A829" s="317"/>
      <c r="B829" s="318"/>
      <c r="C829" s="317"/>
      <c r="D829" s="317"/>
      <c r="E829" s="318"/>
      <c r="F829" s="318"/>
      <c r="G829" s="317"/>
      <c r="H829" s="327"/>
      <c r="I829" s="321"/>
      <c r="J829" s="328"/>
      <c r="K829" s="328"/>
      <c r="L829" s="317"/>
      <c r="M829" s="317"/>
      <c r="N829" s="317"/>
      <c r="O829" s="317"/>
      <c r="P829" s="317"/>
      <c r="Q829" s="317"/>
      <c r="R829" s="317"/>
      <c r="S829" s="317"/>
      <c r="T829" s="317"/>
    </row>
    <row r="830" ht="15.75" customHeight="1">
      <c r="A830" s="317"/>
      <c r="B830" s="318"/>
      <c r="C830" s="317"/>
      <c r="D830" s="317"/>
      <c r="E830" s="318"/>
      <c r="F830" s="318"/>
      <c r="G830" s="317"/>
      <c r="H830" s="327"/>
      <c r="I830" s="321"/>
      <c r="J830" s="328"/>
      <c r="K830" s="328"/>
      <c r="L830" s="317"/>
      <c r="M830" s="317"/>
      <c r="N830" s="317"/>
      <c r="O830" s="317"/>
      <c r="P830" s="317"/>
      <c r="Q830" s="317"/>
      <c r="R830" s="317"/>
      <c r="S830" s="317"/>
      <c r="T830" s="317"/>
    </row>
    <row r="831" ht="15.75" customHeight="1">
      <c r="A831" s="317"/>
      <c r="B831" s="318"/>
      <c r="C831" s="317"/>
      <c r="D831" s="317"/>
      <c r="E831" s="318"/>
      <c r="F831" s="318"/>
      <c r="G831" s="317"/>
      <c r="H831" s="327"/>
      <c r="I831" s="321"/>
      <c r="J831" s="328"/>
      <c r="K831" s="328"/>
      <c r="L831" s="317"/>
      <c r="M831" s="317"/>
      <c r="N831" s="317"/>
      <c r="O831" s="317"/>
      <c r="P831" s="317"/>
      <c r="Q831" s="317"/>
      <c r="R831" s="317"/>
      <c r="S831" s="317"/>
      <c r="T831" s="317"/>
    </row>
    <row r="832" ht="15.75" customHeight="1">
      <c r="A832" s="317"/>
      <c r="B832" s="318"/>
      <c r="C832" s="317"/>
      <c r="D832" s="317"/>
      <c r="E832" s="318"/>
      <c r="F832" s="318"/>
      <c r="G832" s="317"/>
      <c r="H832" s="327"/>
      <c r="I832" s="321"/>
      <c r="J832" s="328"/>
      <c r="K832" s="328"/>
      <c r="L832" s="317"/>
      <c r="M832" s="317"/>
      <c r="N832" s="317"/>
      <c r="O832" s="317"/>
      <c r="P832" s="317"/>
      <c r="Q832" s="317"/>
      <c r="R832" s="317"/>
      <c r="S832" s="317"/>
      <c r="T832" s="317"/>
    </row>
    <row r="833" ht="15.75" customHeight="1">
      <c r="A833" s="317"/>
      <c r="B833" s="318"/>
      <c r="C833" s="317"/>
      <c r="D833" s="317"/>
      <c r="E833" s="318"/>
      <c r="F833" s="318"/>
      <c r="G833" s="317"/>
      <c r="H833" s="327"/>
      <c r="I833" s="321"/>
      <c r="J833" s="328"/>
      <c r="K833" s="328"/>
      <c r="L833" s="317"/>
      <c r="M833" s="317"/>
      <c r="N833" s="317"/>
      <c r="O833" s="317"/>
      <c r="P833" s="317"/>
      <c r="Q833" s="317"/>
      <c r="R833" s="317"/>
      <c r="S833" s="317"/>
      <c r="T833" s="317"/>
    </row>
    <row r="834" ht="15.75" customHeight="1">
      <c r="A834" s="317"/>
      <c r="B834" s="318"/>
      <c r="C834" s="317"/>
      <c r="D834" s="317"/>
      <c r="E834" s="318"/>
      <c r="F834" s="318"/>
      <c r="G834" s="317"/>
      <c r="H834" s="327"/>
      <c r="I834" s="321"/>
      <c r="J834" s="328"/>
      <c r="K834" s="328"/>
      <c r="L834" s="317"/>
      <c r="M834" s="317"/>
      <c r="N834" s="317"/>
      <c r="O834" s="317"/>
      <c r="P834" s="317"/>
      <c r="Q834" s="317"/>
      <c r="R834" s="317"/>
      <c r="S834" s="317"/>
      <c r="T834" s="317"/>
    </row>
    <row r="835" ht="15.75" customHeight="1">
      <c r="A835" s="317"/>
      <c r="B835" s="318"/>
      <c r="C835" s="317"/>
      <c r="D835" s="317"/>
      <c r="E835" s="318"/>
      <c r="F835" s="318"/>
      <c r="G835" s="317"/>
      <c r="H835" s="327"/>
      <c r="I835" s="321"/>
      <c r="J835" s="328"/>
      <c r="K835" s="328"/>
      <c r="L835" s="317"/>
      <c r="M835" s="317"/>
      <c r="N835" s="317"/>
      <c r="O835" s="317"/>
      <c r="P835" s="317"/>
      <c r="Q835" s="317"/>
      <c r="R835" s="317"/>
      <c r="S835" s="317"/>
      <c r="T835" s="317"/>
    </row>
    <row r="836" ht="15.75" customHeight="1">
      <c r="A836" s="317"/>
      <c r="B836" s="318"/>
      <c r="C836" s="317"/>
      <c r="D836" s="317"/>
      <c r="E836" s="318"/>
      <c r="F836" s="318"/>
      <c r="G836" s="317"/>
      <c r="H836" s="327"/>
      <c r="I836" s="321"/>
      <c r="J836" s="328"/>
      <c r="K836" s="328"/>
      <c r="L836" s="317"/>
      <c r="M836" s="317"/>
      <c r="N836" s="317"/>
      <c r="O836" s="317"/>
      <c r="P836" s="317"/>
      <c r="Q836" s="317"/>
      <c r="R836" s="317"/>
      <c r="S836" s="317"/>
      <c r="T836" s="317"/>
    </row>
    <row r="837" ht="15.75" customHeight="1">
      <c r="A837" s="317"/>
      <c r="B837" s="318"/>
      <c r="C837" s="317"/>
      <c r="D837" s="317"/>
      <c r="E837" s="318"/>
      <c r="F837" s="318"/>
      <c r="G837" s="317"/>
      <c r="H837" s="327"/>
      <c r="I837" s="321"/>
      <c r="J837" s="328"/>
      <c r="K837" s="328"/>
      <c r="L837" s="317"/>
      <c r="M837" s="317"/>
      <c r="N837" s="317"/>
      <c r="O837" s="317"/>
      <c r="P837" s="317"/>
      <c r="Q837" s="317"/>
      <c r="R837" s="317"/>
      <c r="S837" s="317"/>
      <c r="T837" s="317"/>
    </row>
    <row r="838" ht="15.75" customHeight="1">
      <c r="A838" s="317"/>
      <c r="B838" s="318"/>
      <c r="C838" s="317"/>
      <c r="D838" s="317"/>
      <c r="E838" s="318"/>
      <c r="F838" s="318"/>
      <c r="G838" s="317"/>
      <c r="H838" s="327"/>
      <c r="I838" s="321"/>
      <c r="J838" s="328"/>
      <c r="K838" s="328"/>
      <c r="L838" s="317"/>
      <c r="M838" s="317"/>
      <c r="N838" s="317"/>
      <c r="O838" s="317"/>
      <c r="P838" s="317"/>
      <c r="Q838" s="317"/>
      <c r="R838" s="317"/>
      <c r="S838" s="317"/>
      <c r="T838" s="317"/>
    </row>
    <row r="839" ht="15.75" customHeight="1">
      <c r="A839" s="317"/>
      <c r="B839" s="318"/>
      <c r="C839" s="317"/>
      <c r="D839" s="317"/>
      <c r="E839" s="318"/>
      <c r="F839" s="318"/>
      <c r="G839" s="317"/>
      <c r="H839" s="327"/>
      <c r="I839" s="321"/>
      <c r="J839" s="328"/>
      <c r="K839" s="328"/>
      <c r="L839" s="317"/>
      <c r="M839" s="317"/>
      <c r="N839" s="317"/>
      <c r="O839" s="317"/>
      <c r="P839" s="317"/>
      <c r="Q839" s="317"/>
      <c r="R839" s="317"/>
      <c r="S839" s="317"/>
      <c r="T839" s="317"/>
    </row>
    <row r="840" ht="15.75" customHeight="1">
      <c r="A840" s="317"/>
      <c r="B840" s="318"/>
      <c r="C840" s="317"/>
      <c r="D840" s="317"/>
      <c r="E840" s="318"/>
      <c r="F840" s="318"/>
      <c r="G840" s="317"/>
      <c r="H840" s="327"/>
      <c r="I840" s="321"/>
      <c r="J840" s="328"/>
      <c r="K840" s="328"/>
      <c r="L840" s="317"/>
      <c r="M840" s="317"/>
      <c r="N840" s="317"/>
      <c r="O840" s="317"/>
      <c r="P840" s="317"/>
      <c r="Q840" s="317"/>
      <c r="R840" s="317"/>
      <c r="S840" s="317"/>
      <c r="T840" s="317"/>
    </row>
    <row r="841" ht="15.75" customHeight="1">
      <c r="A841" s="317"/>
      <c r="B841" s="318"/>
      <c r="C841" s="317"/>
      <c r="D841" s="317"/>
      <c r="E841" s="318"/>
      <c r="F841" s="318"/>
      <c r="G841" s="317"/>
      <c r="H841" s="327"/>
      <c r="I841" s="321"/>
      <c r="J841" s="328"/>
      <c r="K841" s="328"/>
      <c r="L841" s="317"/>
      <c r="M841" s="317"/>
      <c r="N841" s="317"/>
      <c r="O841" s="317"/>
      <c r="P841" s="317"/>
      <c r="Q841" s="317"/>
      <c r="R841" s="317"/>
      <c r="S841" s="317"/>
      <c r="T841" s="317"/>
    </row>
    <row r="842" ht="15.75" customHeight="1">
      <c r="A842" s="317"/>
      <c r="B842" s="318"/>
      <c r="C842" s="317"/>
      <c r="D842" s="317"/>
      <c r="E842" s="318"/>
      <c r="F842" s="318"/>
      <c r="G842" s="317"/>
      <c r="H842" s="327"/>
      <c r="I842" s="321"/>
      <c r="J842" s="328"/>
      <c r="K842" s="328"/>
      <c r="L842" s="317"/>
      <c r="M842" s="317"/>
      <c r="N842" s="317"/>
      <c r="O842" s="317"/>
      <c r="P842" s="317"/>
      <c r="Q842" s="317"/>
      <c r="R842" s="317"/>
      <c r="S842" s="317"/>
      <c r="T842" s="317"/>
    </row>
    <row r="843" ht="15.75" customHeight="1">
      <c r="A843" s="317"/>
      <c r="B843" s="318"/>
      <c r="C843" s="317"/>
      <c r="D843" s="317"/>
      <c r="E843" s="318"/>
      <c r="F843" s="318"/>
      <c r="G843" s="317"/>
      <c r="H843" s="327"/>
      <c r="I843" s="321"/>
      <c r="J843" s="328"/>
      <c r="K843" s="328"/>
      <c r="L843" s="317"/>
      <c r="M843" s="317"/>
      <c r="N843" s="317"/>
      <c r="O843" s="317"/>
      <c r="P843" s="317"/>
      <c r="Q843" s="317"/>
      <c r="R843" s="317"/>
      <c r="S843" s="317"/>
      <c r="T843" s="317"/>
    </row>
    <row r="844" ht="15.75" customHeight="1">
      <c r="A844" s="317"/>
      <c r="B844" s="318"/>
      <c r="C844" s="317"/>
      <c r="D844" s="317"/>
      <c r="E844" s="318"/>
      <c r="F844" s="318"/>
      <c r="G844" s="317"/>
      <c r="H844" s="327"/>
      <c r="I844" s="321"/>
      <c r="J844" s="328"/>
      <c r="K844" s="328"/>
      <c r="L844" s="317"/>
      <c r="M844" s="317"/>
      <c r="N844" s="317"/>
      <c r="O844" s="317"/>
      <c r="P844" s="317"/>
      <c r="Q844" s="317"/>
      <c r="R844" s="317"/>
      <c r="S844" s="317"/>
      <c r="T844" s="317"/>
    </row>
    <row r="845" ht="15.75" customHeight="1">
      <c r="A845" s="317"/>
      <c r="B845" s="318"/>
      <c r="C845" s="317"/>
      <c r="D845" s="317"/>
      <c r="E845" s="318"/>
      <c r="F845" s="318"/>
      <c r="G845" s="317"/>
      <c r="H845" s="327"/>
      <c r="I845" s="321"/>
      <c r="J845" s="328"/>
      <c r="K845" s="328"/>
      <c r="L845" s="317"/>
      <c r="M845" s="317"/>
      <c r="N845" s="317"/>
      <c r="O845" s="317"/>
      <c r="P845" s="317"/>
      <c r="Q845" s="317"/>
      <c r="R845" s="317"/>
      <c r="S845" s="317"/>
      <c r="T845" s="317"/>
    </row>
    <row r="846" ht="15.75" customHeight="1">
      <c r="A846" s="317"/>
      <c r="B846" s="318"/>
      <c r="C846" s="317"/>
      <c r="D846" s="317"/>
      <c r="E846" s="318"/>
      <c r="F846" s="318"/>
      <c r="G846" s="317"/>
      <c r="H846" s="327"/>
      <c r="I846" s="321"/>
      <c r="J846" s="328"/>
      <c r="K846" s="328"/>
      <c r="L846" s="317"/>
      <c r="M846" s="317"/>
      <c r="N846" s="317"/>
      <c r="O846" s="317"/>
      <c r="P846" s="317"/>
      <c r="Q846" s="317"/>
      <c r="R846" s="317"/>
      <c r="S846" s="317"/>
      <c r="T846" s="317"/>
    </row>
    <row r="847" ht="15.75" customHeight="1">
      <c r="A847" s="317"/>
      <c r="B847" s="318"/>
      <c r="C847" s="317"/>
      <c r="D847" s="317"/>
      <c r="E847" s="318"/>
      <c r="F847" s="318"/>
      <c r="G847" s="317"/>
      <c r="H847" s="327"/>
      <c r="I847" s="321"/>
      <c r="J847" s="328"/>
      <c r="K847" s="328"/>
      <c r="L847" s="317"/>
      <c r="M847" s="317"/>
      <c r="N847" s="317"/>
      <c r="O847" s="317"/>
      <c r="P847" s="317"/>
      <c r="Q847" s="317"/>
      <c r="R847" s="317"/>
      <c r="S847" s="317"/>
      <c r="T847" s="317"/>
    </row>
    <row r="848" ht="15.75" customHeight="1">
      <c r="A848" s="317"/>
      <c r="B848" s="318"/>
      <c r="C848" s="317"/>
      <c r="D848" s="317"/>
      <c r="E848" s="318"/>
      <c r="F848" s="318"/>
      <c r="G848" s="317"/>
      <c r="H848" s="327"/>
      <c r="I848" s="321"/>
      <c r="J848" s="328"/>
      <c r="K848" s="328"/>
      <c r="L848" s="317"/>
      <c r="M848" s="317"/>
      <c r="N848" s="317"/>
      <c r="O848" s="317"/>
      <c r="P848" s="317"/>
      <c r="Q848" s="317"/>
      <c r="R848" s="317"/>
      <c r="S848" s="317"/>
      <c r="T848" s="317"/>
    </row>
    <row r="849" ht="15.75" customHeight="1">
      <c r="A849" s="317"/>
      <c r="B849" s="318"/>
      <c r="C849" s="317"/>
      <c r="D849" s="317"/>
      <c r="E849" s="318"/>
      <c r="F849" s="318"/>
      <c r="G849" s="317"/>
      <c r="H849" s="327"/>
      <c r="I849" s="321"/>
      <c r="J849" s="328"/>
      <c r="K849" s="328"/>
      <c r="L849" s="317"/>
      <c r="M849" s="317"/>
      <c r="N849" s="317"/>
      <c r="O849" s="317"/>
      <c r="P849" s="317"/>
      <c r="Q849" s="317"/>
      <c r="R849" s="317"/>
      <c r="S849" s="317"/>
      <c r="T849" s="317"/>
    </row>
    <row r="850" ht="15.75" customHeight="1">
      <c r="A850" s="317"/>
      <c r="B850" s="318"/>
      <c r="C850" s="317"/>
      <c r="D850" s="317"/>
      <c r="E850" s="318"/>
      <c r="F850" s="318"/>
      <c r="G850" s="317"/>
      <c r="H850" s="327"/>
      <c r="I850" s="321"/>
      <c r="J850" s="328"/>
      <c r="K850" s="328"/>
      <c r="L850" s="317"/>
      <c r="M850" s="317"/>
      <c r="N850" s="317"/>
      <c r="O850" s="317"/>
      <c r="P850" s="317"/>
      <c r="Q850" s="317"/>
      <c r="R850" s="317"/>
      <c r="S850" s="317"/>
      <c r="T850" s="317"/>
    </row>
    <row r="851" ht="15.75" customHeight="1">
      <c r="A851" s="317"/>
      <c r="B851" s="318"/>
      <c r="C851" s="317"/>
      <c r="D851" s="317"/>
      <c r="E851" s="318"/>
      <c r="F851" s="318"/>
      <c r="G851" s="317"/>
      <c r="H851" s="327"/>
      <c r="I851" s="321"/>
      <c r="J851" s="328"/>
      <c r="K851" s="328"/>
      <c r="L851" s="317"/>
      <c r="M851" s="317"/>
      <c r="N851" s="317"/>
      <c r="O851" s="317"/>
      <c r="P851" s="317"/>
      <c r="Q851" s="317"/>
      <c r="R851" s="317"/>
      <c r="S851" s="317"/>
      <c r="T851" s="317"/>
    </row>
    <row r="852" ht="15.75" customHeight="1">
      <c r="A852" s="317"/>
      <c r="B852" s="318"/>
      <c r="C852" s="317"/>
      <c r="D852" s="317"/>
      <c r="E852" s="318"/>
      <c r="F852" s="318"/>
      <c r="G852" s="317"/>
      <c r="H852" s="327"/>
      <c r="I852" s="321"/>
      <c r="J852" s="328"/>
      <c r="K852" s="328"/>
      <c r="L852" s="317"/>
      <c r="M852" s="317"/>
      <c r="N852" s="317"/>
      <c r="O852" s="317"/>
      <c r="P852" s="317"/>
      <c r="Q852" s="317"/>
      <c r="R852" s="317"/>
      <c r="S852" s="317"/>
      <c r="T852" s="317"/>
    </row>
    <row r="853" ht="15.75" customHeight="1">
      <c r="A853" s="317"/>
      <c r="B853" s="318"/>
      <c r="C853" s="317"/>
      <c r="D853" s="317"/>
      <c r="E853" s="318"/>
      <c r="F853" s="318"/>
      <c r="G853" s="317"/>
      <c r="H853" s="327"/>
      <c r="I853" s="321"/>
      <c r="J853" s="328"/>
      <c r="K853" s="328"/>
      <c r="L853" s="317"/>
      <c r="M853" s="317"/>
      <c r="N853" s="317"/>
      <c r="O853" s="317"/>
      <c r="P853" s="317"/>
      <c r="Q853" s="317"/>
      <c r="R853" s="317"/>
      <c r="S853" s="317"/>
      <c r="T853" s="317"/>
    </row>
    <row r="854" ht="15.75" customHeight="1">
      <c r="A854" s="317"/>
      <c r="B854" s="318"/>
      <c r="C854" s="317"/>
      <c r="D854" s="317"/>
      <c r="E854" s="318"/>
      <c r="F854" s="318"/>
      <c r="G854" s="317"/>
      <c r="H854" s="327"/>
      <c r="I854" s="321"/>
      <c r="J854" s="328"/>
      <c r="K854" s="328"/>
      <c r="L854" s="317"/>
      <c r="M854" s="317"/>
      <c r="N854" s="317"/>
      <c r="O854" s="317"/>
      <c r="P854" s="317"/>
      <c r="Q854" s="317"/>
      <c r="R854" s="317"/>
      <c r="S854" s="317"/>
      <c r="T854" s="317"/>
    </row>
    <row r="855" ht="15.75" customHeight="1">
      <c r="A855" s="317"/>
      <c r="B855" s="318"/>
      <c r="C855" s="317"/>
      <c r="D855" s="317"/>
      <c r="E855" s="318"/>
      <c r="F855" s="318"/>
      <c r="G855" s="317"/>
      <c r="H855" s="327"/>
      <c r="I855" s="321"/>
      <c r="J855" s="328"/>
      <c r="K855" s="328"/>
      <c r="L855" s="317"/>
      <c r="M855" s="317"/>
      <c r="N855" s="317"/>
      <c r="O855" s="317"/>
      <c r="P855" s="317"/>
      <c r="Q855" s="317"/>
      <c r="R855" s="317"/>
      <c r="S855" s="317"/>
      <c r="T855" s="317"/>
    </row>
    <row r="856" ht="15.75" customHeight="1">
      <c r="A856" s="317"/>
      <c r="B856" s="318"/>
      <c r="C856" s="317"/>
      <c r="D856" s="317"/>
      <c r="E856" s="318"/>
      <c r="F856" s="318"/>
      <c r="G856" s="317"/>
      <c r="H856" s="327"/>
      <c r="I856" s="321"/>
      <c r="J856" s="328"/>
      <c r="K856" s="328"/>
      <c r="L856" s="317"/>
      <c r="M856" s="317"/>
      <c r="N856" s="317"/>
      <c r="O856" s="317"/>
      <c r="P856" s="317"/>
      <c r="Q856" s="317"/>
      <c r="R856" s="317"/>
      <c r="S856" s="317"/>
      <c r="T856" s="317"/>
    </row>
    <row r="857" ht="15.75" customHeight="1">
      <c r="A857" s="317"/>
      <c r="B857" s="318"/>
      <c r="C857" s="317"/>
      <c r="D857" s="317"/>
      <c r="E857" s="318"/>
      <c r="F857" s="318"/>
      <c r="G857" s="317"/>
      <c r="H857" s="327"/>
      <c r="I857" s="321"/>
      <c r="J857" s="328"/>
      <c r="K857" s="328"/>
      <c r="L857" s="317"/>
      <c r="M857" s="317"/>
      <c r="N857" s="317"/>
      <c r="O857" s="317"/>
      <c r="P857" s="317"/>
      <c r="Q857" s="317"/>
      <c r="R857" s="317"/>
      <c r="S857" s="317"/>
      <c r="T857" s="317"/>
    </row>
    <row r="858" ht="15.75" customHeight="1">
      <c r="A858" s="317"/>
      <c r="B858" s="318"/>
      <c r="C858" s="317"/>
      <c r="D858" s="317"/>
      <c r="E858" s="318"/>
      <c r="F858" s="318"/>
      <c r="G858" s="317"/>
      <c r="H858" s="327"/>
      <c r="I858" s="321"/>
      <c r="J858" s="328"/>
      <c r="K858" s="328"/>
      <c r="L858" s="317"/>
      <c r="M858" s="317"/>
      <c r="N858" s="317"/>
      <c r="O858" s="317"/>
      <c r="P858" s="317"/>
      <c r="Q858" s="317"/>
      <c r="R858" s="317"/>
      <c r="S858" s="317"/>
      <c r="T858" s="317"/>
    </row>
    <row r="859" ht="15.75" customHeight="1">
      <c r="A859" s="317"/>
      <c r="B859" s="318"/>
      <c r="C859" s="317"/>
      <c r="D859" s="317"/>
      <c r="E859" s="318"/>
      <c r="F859" s="318"/>
      <c r="G859" s="317"/>
      <c r="H859" s="327"/>
      <c r="I859" s="321"/>
      <c r="J859" s="328"/>
      <c r="K859" s="328"/>
      <c r="L859" s="317"/>
      <c r="M859" s="317"/>
      <c r="N859" s="317"/>
      <c r="O859" s="317"/>
      <c r="P859" s="317"/>
      <c r="Q859" s="317"/>
      <c r="R859" s="317"/>
      <c r="S859" s="317"/>
      <c r="T859" s="317"/>
    </row>
    <row r="860" ht="15.75" customHeight="1">
      <c r="A860" s="317"/>
      <c r="B860" s="318"/>
      <c r="C860" s="317"/>
      <c r="D860" s="317"/>
      <c r="E860" s="318"/>
      <c r="F860" s="318"/>
      <c r="G860" s="317"/>
      <c r="H860" s="327"/>
      <c r="I860" s="321"/>
      <c r="J860" s="328"/>
      <c r="K860" s="328"/>
      <c r="L860" s="317"/>
      <c r="M860" s="317"/>
      <c r="N860" s="317"/>
      <c r="O860" s="317"/>
      <c r="P860" s="317"/>
      <c r="Q860" s="317"/>
      <c r="R860" s="317"/>
      <c r="S860" s="317"/>
      <c r="T860" s="317"/>
    </row>
    <row r="861" ht="15.75" customHeight="1">
      <c r="A861" s="317"/>
      <c r="B861" s="318"/>
      <c r="C861" s="317"/>
      <c r="D861" s="317"/>
      <c r="E861" s="318"/>
      <c r="F861" s="318"/>
      <c r="G861" s="317"/>
      <c r="H861" s="327"/>
      <c r="I861" s="321"/>
      <c r="J861" s="328"/>
      <c r="K861" s="328"/>
      <c r="L861" s="317"/>
      <c r="M861" s="317"/>
      <c r="N861" s="317"/>
      <c r="O861" s="317"/>
      <c r="P861" s="317"/>
      <c r="Q861" s="317"/>
      <c r="R861" s="317"/>
      <c r="S861" s="317"/>
      <c r="T861" s="317"/>
    </row>
    <row r="862" ht="15.75" customHeight="1">
      <c r="A862" s="317"/>
      <c r="B862" s="318"/>
      <c r="C862" s="317"/>
      <c r="D862" s="317"/>
      <c r="E862" s="318"/>
      <c r="F862" s="318"/>
      <c r="G862" s="317"/>
      <c r="H862" s="327"/>
      <c r="I862" s="321"/>
      <c r="J862" s="328"/>
      <c r="K862" s="328"/>
      <c r="L862" s="317"/>
      <c r="M862" s="317"/>
      <c r="N862" s="317"/>
      <c r="O862" s="317"/>
      <c r="P862" s="317"/>
      <c r="Q862" s="317"/>
      <c r="R862" s="317"/>
      <c r="S862" s="317"/>
      <c r="T862" s="317"/>
    </row>
    <row r="863" ht="15.75" customHeight="1">
      <c r="A863" s="317"/>
      <c r="B863" s="318"/>
      <c r="C863" s="317"/>
      <c r="D863" s="317"/>
      <c r="E863" s="318"/>
      <c r="F863" s="318"/>
      <c r="G863" s="317"/>
      <c r="H863" s="327"/>
      <c r="I863" s="321"/>
      <c r="J863" s="328"/>
      <c r="K863" s="328"/>
      <c r="L863" s="317"/>
      <c r="M863" s="317"/>
      <c r="N863" s="317"/>
      <c r="O863" s="317"/>
      <c r="P863" s="317"/>
      <c r="Q863" s="317"/>
      <c r="R863" s="317"/>
      <c r="S863" s="317"/>
      <c r="T863" s="317"/>
    </row>
    <row r="864" ht="15.75" customHeight="1">
      <c r="A864" s="317"/>
      <c r="B864" s="318"/>
      <c r="C864" s="317"/>
      <c r="D864" s="317"/>
      <c r="E864" s="318"/>
      <c r="F864" s="318"/>
      <c r="G864" s="317"/>
      <c r="H864" s="327"/>
      <c r="I864" s="321"/>
      <c r="J864" s="328"/>
      <c r="K864" s="328"/>
      <c r="L864" s="317"/>
      <c r="M864" s="317"/>
      <c r="N864" s="317"/>
      <c r="O864" s="317"/>
      <c r="P864" s="317"/>
      <c r="Q864" s="317"/>
      <c r="R864" s="317"/>
      <c r="S864" s="317"/>
      <c r="T864" s="317"/>
    </row>
    <row r="865" ht="15.75" customHeight="1">
      <c r="A865" s="317"/>
      <c r="B865" s="318"/>
      <c r="C865" s="317"/>
      <c r="D865" s="317"/>
      <c r="E865" s="318"/>
      <c r="F865" s="318"/>
      <c r="G865" s="317"/>
      <c r="H865" s="327"/>
      <c r="I865" s="321"/>
      <c r="J865" s="328"/>
      <c r="K865" s="328"/>
      <c r="L865" s="317"/>
      <c r="M865" s="317"/>
      <c r="N865" s="317"/>
      <c r="O865" s="317"/>
      <c r="P865" s="317"/>
      <c r="Q865" s="317"/>
      <c r="R865" s="317"/>
      <c r="S865" s="317"/>
      <c r="T865" s="317"/>
    </row>
    <row r="866" ht="15.75" customHeight="1">
      <c r="A866" s="317"/>
      <c r="B866" s="318"/>
      <c r="C866" s="317"/>
      <c r="D866" s="317"/>
      <c r="E866" s="318"/>
      <c r="F866" s="318"/>
      <c r="G866" s="317"/>
      <c r="H866" s="327"/>
      <c r="I866" s="321"/>
      <c r="J866" s="328"/>
      <c r="K866" s="328"/>
      <c r="L866" s="317"/>
      <c r="M866" s="317"/>
      <c r="N866" s="317"/>
      <c r="O866" s="317"/>
      <c r="P866" s="317"/>
      <c r="Q866" s="317"/>
      <c r="R866" s="317"/>
      <c r="S866" s="317"/>
      <c r="T866" s="317"/>
    </row>
    <row r="867" ht="15.75" customHeight="1">
      <c r="A867" s="317"/>
      <c r="B867" s="318"/>
      <c r="C867" s="317"/>
      <c r="D867" s="317"/>
      <c r="E867" s="318"/>
      <c r="F867" s="318"/>
      <c r="G867" s="317"/>
      <c r="H867" s="327"/>
      <c r="I867" s="321"/>
      <c r="J867" s="328"/>
      <c r="K867" s="328"/>
      <c r="L867" s="317"/>
      <c r="M867" s="317"/>
      <c r="N867" s="317"/>
      <c r="O867" s="317"/>
      <c r="P867" s="317"/>
      <c r="Q867" s="317"/>
      <c r="R867" s="317"/>
      <c r="S867" s="317"/>
      <c r="T867" s="317"/>
    </row>
    <row r="868" ht="15.75" customHeight="1">
      <c r="A868" s="317"/>
      <c r="B868" s="318"/>
      <c r="C868" s="317"/>
      <c r="D868" s="317"/>
      <c r="E868" s="318"/>
      <c r="F868" s="318"/>
      <c r="G868" s="317"/>
      <c r="H868" s="327"/>
      <c r="I868" s="321"/>
      <c r="J868" s="328"/>
      <c r="K868" s="328"/>
      <c r="L868" s="317"/>
      <c r="M868" s="317"/>
      <c r="N868" s="317"/>
      <c r="O868" s="317"/>
      <c r="P868" s="317"/>
      <c r="Q868" s="317"/>
      <c r="R868" s="317"/>
      <c r="S868" s="317"/>
      <c r="T868" s="317"/>
    </row>
    <row r="869" ht="15.75" customHeight="1">
      <c r="A869" s="317"/>
      <c r="B869" s="318"/>
      <c r="C869" s="317"/>
      <c r="D869" s="317"/>
      <c r="E869" s="318"/>
      <c r="F869" s="318"/>
      <c r="G869" s="317"/>
      <c r="H869" s="327"/>
      <c r="I869" s="321"/>
      <c r="J869" s="328"/>
      <c r="K869" s="328"/>
      <c r="L869" s="317"/>
      <c r="M869" s="317"/>
      <c r="N869" s="317"/>
      <c r="O869" s="317"/>
      <c r="P869" s="317"/>
      <c r="Q869" s="317"/>
      <c r="R869" s="317"/>
      <c r="S869" s="317"/>
      <c r="T869" s="317"/>
    </row>
    <row r="870" ht="15.75" customHeight="1">
      <c r="A870" s="317"/>
      <c r="B870" s="318"/>
      <c r="C870" s="317"/>
      <c r="D870" s="317"/>
      <c r="E870" s="318"/>
      <c r="F870" s="318"/>
      <c r="G870" s="317"/>
      <c r="H870" s="327"/>
      <c r="I870" s="321"/>
      <c r="J870" s="328"/>
      <c r="K870" s="328"/>
      <c r="L870" s="317"/>
      <c r="M870" s="317"/>
      <c r="N870" s="317"/>
      <c r="O870" s="317"/>
      <c r="P870" s="317"/>
      <c r="Q870" s="317"/>
      <c r="R870" s="317"/>
      <c r="S870" s="317"/>
      <c r="T870" s="317"/>
    </row>
    <row r="871" ht="15.75" customHeight="1">
      <c r="A871" s="317"/>
      <c r="B871" s="318"/>
      <c r="C871" s="317"/>
      <c r="D871" s="317"/>
      <c r="E871" s="318"/>
      <c r="F871" s="318"/>
      <c r="G871" s="317"/>
      <c r="H871" s="327"/>
      <c r="I871" s="321"/>
      <c r="J871" s="328"/>
      <c r="K871" s="328"/>
      <c r="L871" s="317"/>
      <c r="M871" s="317"/>
      <c r="N871" s="317"/>
      <c r="O871" s="317"/>
      <c r="P871" s="317"/>
      <c r="Q871" s="317"/>
      <c r="R871" s="317"/>
      <c r="S871" s="317"/>
      <c r="T871" s="317"/>
    </row>
    <row r="872" ht="15.75" customHeight="1">
      <c r="A872" s="317"/>
      <c r="B872" s="318"/>
      <c r="C872" s="317"/>
      <c r="D872" s="317"/>
      <c r="E872" s="318"/>
      <c r="F872" s="318"/>
      <c r="G872" s="317"/>
      <c r="H872" s="327"/>
      <c r="I872" s="321"/>
      <c r="J872" s="328"/>
      <c r="K872" s="328"/>
      <c r="L872" s="317"/>
      <c r="M872" s="317"/>
      <c r="N872" s="317"/>
      <c r="O872" s="317"/>
      <c r="P872" s="317"/>
      <c r="Q872" s="317"/>
      <c r="R872" s="317"/>
      <c r="S872" s="317"/>
      <c r="T872" s="317"/>
    </row>
    <row r="873" ht="15.75" customHeight="1">
      <c r="A873" s="317"/>
      <c r="B873" s="318"/>
      <c r="C873" s="317"/>
      <c r="D873" s="317"/>
      <c r="E873" s="318"/>
      <c r="F873" s="318"/>
      <c r="G873" s="317"/>
      <c r="H873" s="327"/>
      <c r="I873" s="321"/>
      <c r="J873" s="328"/>
      <c r="K873" s="328"/>
      <c r="L873" s="317"/>
      <c r="M873" s="317"/>
      <c r="N873" s="317"/>
      <c r="O873" s="317"/>
      <c r="P873" s="317"/>
      <c r="Q873" s="317"/>
      <c r="R873" s="317"/>
      <c r="S873" s="317"/>
      <c r="T873" s="317"/>
    </row>
    <row r="874" ht="15.75" customHeight="1">
      <c r="A874" s="317"/>
      <c r="B874" s="318"/>
      <c r="C874" s="317"/>
      <c r="D874" s="317"/>
      <c r="E874" s="318"/>
      <c r="F874" s="318"/>
      <c r="G874" s="317"/>
      <c r="H874" s="327"/>
      <c r="I874" s="321"/>
      <c r="J874" s="328"/>
      <c r="K874" s="328"/>
      <c r="L874" s="317"/>
      <c r="M874" s="317"/>
      <c r="N874" s="317"/>
      <c r="O874" s="317"/>
      <c r="P874" s="317"/>
      <c r="Q874" s="317"/>
      <c r="R874" s="317"/>
      <c r="S874" s="317"/>
      <c r="T874" s="317"/>
    </row>
    <row r="875" ht="15.75" customHeight="1">
      <c r="A875" s="317"/>
      <c r="B875" s="318"/>
      <c r="C875" s="317"/>
      <c r="D875" s="317"/>
      <c r="E875" s="318"/>
      <c r="F875" s="318"/>
      <c r="G875" s="317"/>
      <c r="H875" s="327"/>
      <c r="I875" s="321"/>
      <c r="J875" s="328"/>
      <c r="K875" s="328"/>
      <c r="L875" s="317"/>
      <c r="M875" s="317"/>
      <c r="N875" s="317"/>
      <c r="O875" s="317"/>
      <c r="P875" s="317"/>
      <c r="Q875" s="317"/>
      <c r="R875" s="317"/>
      <c r="S875" s="317"/>
      <c r="T875" s="317"/>
    </row>
    <row r="876" ht="15.75" customHeight="1">
      <c r="A876" s="317"/>
      <c r="B876" s="318"/>
      <c r="C876" s="317"/>
      <c r="D876" s="317"/>
      <c r="E876" s="318"/>
      <c r="F876" s="318"/>
      <c r="G876" s="317"/>
      <c r="H876" s="327"/>
      <c r="I876" s="321"/>
      <c r="J876" s="328"/>
      <c r="K876" s="328"/>
      <c r="L876" s="317"/>
      <c r="M876" s="317"/>
      <c r="N876" s="317"/>
      <c r="O876" s="317"/>
      <c r="P876" s="317"/>
      <c r="Q876" s="317"/>
      <c r="R876" s="317"/>
      <c r="S876" s="317"/>
      <c r="T876" s="317"/>
    </row>
    <row r="877" ht="15.75" customHeight="1">
      <c r="A877" s="317"/>
      <c r="B877" s="318"/>
      <c r="C877" s="317"/>
      <c r="D877" s="317"/>
      <c r="E877" s="318"/>
      <c r="F877" s="318"/>
      <c r="G877" s="317"/>
      <c r="H877" s="327"/>
      <c r="I877" s="321"/>
      <c r="J877" s="328"/>
      <c r="K877" s="328"/>
      <c r="L877" s="317"/>
      <c r="M877" s="317"/>
      <c r="N877" s="317"/>
      <c r="O877" s="317"/>
      <c r="P877" s="317"/>
      <c r="Q877" s="317"/>
      <c r="R877" s="317"/>
      <c r="S877" s="317"/>
      <c r="T877" s="317"/>
    </row>
    <row r="878" ht="15.75" customHeight="1">
      <c r="A878" s="317"/>
      <c r="B878" s="318"/>
      <c r="C878" s="317"/>
      <c r="D878" s="317"/>
      <c r="E878" s="318"/>
      <c r="F878" s="318"/>
      <c r="G878" s="317"/>
      <c r="H878" s="327"/>
      <c r="I878" s="321"/>
      <c r="J878" s="328"/>
      <c r="K878" s="328"/>
      <c r="L878" s="317"/>
      <c r="M878" s="317"/>
      <c r="N878" s="317"/>
      <c r="O878" s="317"/>
      <c r="P878" s="317"/>
      <c r="Q878" s="317"/>
      <c r="R878" s="317"/>
      <c r="S878" s="317"/>
      <c r="T878" s="317"/>
    </row>
    <row r="879" ht="15.75" customHeight="1">
      <c r="A879" s="317"/>
      <c r="B879" s="318"/>
      <c r="C879" s="317"/>
      <c r="D879" s="317"/>
      <c r="E879" s="318"/>
      <c r="F879" s="318"/>
      <c r="G879" s="317"/>
      <c r="H879" s="327"/>
      <c r="I879" s="321"/>
      <c r="J879" s="328"/>
      <c r="K879" s="328"/>
      <c r="L879" s="317"/>
      <c r="M879" s="317"/>
      <c r="N879" s="317"/>
      <c r="O879" s="317"/>
      <c r="P879" s="317"/>
      <c r="Q879" s="317"/>
      <c r="R879" s="317"/>
      <c r="S879" s="317"/>
      <c r="T879" s="317"/>
    </row>
    <row r="880" ht="15.75" customHeight="1">
      <c r="A880" s="317"/>
      <c r="B880" s="318"/>
      <c r="C880" s="317"/>
      <c r="D880" s="317"/>
      <c r="E880" s="318"/>
      <c r="F880" s="318"/>
      <c r="G880" s="317"/>
      <c r="H880" s="327"/>
      <c r="I880" s="321"/>
      <c r="J880" s="328"/>
      <c r="K880" s="328"/>
      <c r="L880" s="317"/>
      <c r="M880" s="317"/>
      <c r="N880" s="317"/>
      <c r="O880" s="317"/>
      <c r="P880" s="317"/>
      <c r="Q880" s="317"/>
      <c r="R880" s="317"/>
      <c r="S880" s="317"/>
      <c r="T880" s="317"/>
    </row>
    <row r="881" ht="15.75" customHeight="1">
      <c r="A881" s="317"/>
      <c r="B881" s="318"/>
      <c r="C881" s="317"/>
      <c r="D881" s="317"/>
      <c r="E881" s="318"/>
      <c r="F881" s="318"/>
      <c r="G881" s="317"/>
      <c r="H881" s="327"/>
      <c r="I881" s="321"/>
      <c r="J881" s="328"/>
      <c r="K881" s="328"/>
      <c r="L881" s="317"/>
      <c r="M881" s="317"/>
      <c r="N881" s="317"/>
      <c r="O881" s="317"/>
      <c r="P881" s="317"/>
      <c r="Q881" s="317"/>
      <c r="R881" s="317"/>
      <c r="S881" s="317"/>
      <c r="T881" s="317"/>
    </row>
    <row r="882" ht="15.75" customHeight="1">
      <c r="A882" s="317"/>
      <c r="B882" s="318"/>
      <c r="C882" s="317"/>
      <c r="D882" s="317"/>
      <c r="E882" s="318"/>
      <c r="F882" s="318"/>
      <c r="G882" s="317"/>
      <c r="H882" s="327"/>
      <c r="I882" s="321"/>
      <c r="J882" s="328"/>
      <c r="K882" s="328"/>
      <c r="L882" s="317"/>
      <c r="M882" s="317"/>
      <c r="N882" s="317"/>
      <c r="O882" s="317"/>
      <c r="P882" s="317"/>
      <c r="Q882" s="317"/>
      <c r="R882" s="317"/>
      <c r="S882" s="317"/>
      <c r="T882" s="317"/>
    </row>
    <row r="883" ht="15.75" customHeight="1">
      <c r="A883" s="317"/>
      <c r="B883" s="318"/>
      <c r="C883" s="317"/>
      <c r="D883" s="317"/>
      <c r="E883" s="318"/>
      <c r="F883" s="318"/>
      <c r="G883" s="317"/>
      <c r="H883" s="327"/>
      <c r="I883" s="321"/>
      <c r="J883" s="328"/>
      <c r="K883" s="328"/>
      <c r="L883" s="317"/>
      <c r="M883" s="317"/>
      <c r="N883" s="317"/>
      <c r="O883" s="317"/>
      <c r="P883" s="317"/>
      <c r="Q883" s="317"/>
      <c r="R883" s="317"/>
      <c r="S883" s="317"/>
      <c r="T883" s="317"/>
    </row>
    <row r="884" ht="15.75" customHeight="1">
      <c r="A884" s="317"/>
      <c r="B884" s="318"/>
      <c r="C884" s="317"/>
      <c r="D884" s="317"/>
      <c r="E884" s="318"/>
      <c r="F884" s="318"/>
      <c r="G884" s="317"/>
      <c r="H884" s="327"/>
      <c r="I884" s="321"/>
      <c r="J884" s="328"/>
      <c r="K884" s="328"/>
      <c r="L884" s="317"/>
      <c r="M884" s="317"/>
      <c r="N884" s="317"/>
      <c r="O884" s="317"/>
      <c r="P884" s="317"/>
      <c r="Q884" s="317"/>
      <c r="R884" s="317"/>
      <c r="S884" s="317"/>
      <c r="T884" s="317"/>
    </row>
    <row r="885" ht="15.75" customHeight="1">
      <c r="A885" s="317"/>
      <c r="B885" s="318"/>
      <c r="C885" s="317"/>
      <c r="D885" s="317"/>
      <c r="E885" s="318"/>
      <c r="F885" s="318"/>
      <c r="G885" s="317"/>
      <c r="H885" s="327"/>
      <c r="I885" s="321"/>
      <c r="J885" s="328"/>
      <c r="K885" s="328"/>
      <c r="L885" s="317"/>
      <c r="M885" s="317"/>
      <c r="N885" s="317"/>
      <c r="O885" s="317"/>
      <c r="P885" s="317"/>
      <c r="Q885" s="317"/>
      <c r="R885" s="317"/>
      <c r="S885" s="317"/>
      <c r="T885" s="317"/>
    </row>
    <row r="886" ht="15.75" customHeight="1">
      <c r="A886" s="317"/>
      <c r="B886" s="318"/>
      <c r="C886" s="317"/>
      <c r="D886" s="317"/>
      <c r="E886" s="318"/>
      <c r="F886" s="318"/>
      <c r="G886" s="317"/>
      <c r="H886" s="327"/>
      <c r="I886" s="321"/>
      <c r="J886" s="328"/>
      <c r="K886" s="328"/>
      <c r="L886" s="317"/>
      <c r="M886" s="317"/>
      <c r="N886" s="317"/>
      <c r="O886" s="317"/>
      <c r="P886" s="317"/>
      <c r="Q886" s="317"/>
      <c r="R886" s="317"/>
      <c r="S886" s="317"/>
      <c r="T886" s="317"/>
    </row>
    <row r="887" ht="15.75" customHeight="1">
      <c r="A887" s="317"/>
      <c r="B887" s="318"/>
      <c r="C887" s="317"/>
      <c r="D887" s="317"/>
      <c r="E887" s="318"/>
      <c r="F887" s="318"/>
      <c r="G887" s="317"/>
      <c r="H887" s="327"/>
      <c r="I887" s="321"/>
      <c r="J887" s="328"/>
      <c r="K887" s="328"/>
      <c r="L887" s="317"/>
      <c r="M887" s="317"/>
      <c r="N887" s="317"/>
      <c r="O887" s="317"/>
      <c r="P887" s="317"/>
      <c r="Q887" s="317"/>
      <c r="R887" s="317"/>
      <c r="S887" s="317"/>
      <c r="T887" s="317"/>
    </row>
    <row r="888" ht="15.75" customHeight="1">
      <c r="A888" s="317"/>
      <c r="B888" s="318"/>
      <c r="C888" s="317"/>
      <c r="D888" s="317"/>
      <c r="E888" s="318"/>
      <c r="F888" s="318"/>
      <c r="G888" s="317"/>
      <c r="H888" s="327"/>
      <c r="I888" s="321"/>
      <c r="J888" s="328"/>
      <c r="K888" s="328"/>
      <c r="L888" s="317"/>
      <c r="M888" s="317"/>
      <c r="N888" s="317"/>
      <c r="O888" s="317"/>
      <c r="P888" s="317"/>
      <c r="Q888" s="317"/>
      <c r="R888" s="317"/>
      <c r="S888" s="317"/>
      <c r="T888" s="317"/>
    </row>
    <row r="889" ht="15.75" customHeight="1">
      <c r="A889" s="317"/>
      <c r="B889" s="318"/>
      <c r="C889" s="317"/>
      <c r="D889" s="317"/>
      <c r="E889" s="318"/>
      <c r="F889" s="318"/>
      <c r="G889" s="317"/>
      <c r="H889" s="327"/>
      <c r="I889" s="321"/>
      <c r="J889" s="328"/>
      <c r="K889" s="328"/>
      <c r="L889" s="317"/>
      <c r="M889" s="317"/>
      <c r="N889" s="317"/>
      <c r="O889" s="317"/>
      <c r="P889" s="317"/>
      <c r="Q889" s="317"/>
      <c r="R889" s="317"/>
      <c r="S889" s="317"/>
      <c r="T889" s="317"/>
    </row>
    <row r="890" ht="15.75" customHeight="1">
      <c r="A890" s="317"/>
      <c r="B890" s="318"/>
      <c r="C890" s="317"/>
      <c r="D890" s="317"/>
      <c r="E890" s="318"/>
      <c r="F890" s="318"/>
      <c r="G890" s="317"/>
      <c r="H890" s="327"/>
      <c r="I890" s="321"/>
      <c r="J890" s="328"/>
      <c r="K890" s="328"/>
      <c r="L890" s="317"/>
      <c r="M890" s="317"/>
      <c r="N890" s="317"/>
      <c r="O890" s="317"/>
      <c r="P890" s="317"/>
      <c r="Q890" s="317"/>
      <c r="R890" s="317"/>
      <c r="S890" s="317"/>
      <c r="T890" s="317"/>
    </row>
    <row r="891" ht="15.75" customHeight="1">
      <c r="A891" s="317"/>
      <c r="B891" s="318"/>
      <c r="C891" s="317"/>
      <c r="D891" s="317"/>
      <c r="E891" s="318"/>
      <c r="F891" s="318"/>
      <c r="G891" s="317"/>
      <c r="H891" s="327"/>
      <c r="I891" s="321"/>
      <c r="J891" s="328"/>
      <c r="K891" s="328"/>
      <c r="L891" s="317"/>
      <c r="M891" s="317"/>
      <c r="N891" s="317"/>
      <c r="O891" s="317"/>
      <c r="P891" s="317"/>
      <c r="Q891" s="317"/>
      <c r="R891" s="317"/>
      <c r="S891" s="317"/>
      <c r="T891" s="317"/>
    </row>
    <row r="892" ht="15.75" customHeight="1">
      <c r="A892" s="317"/>
      <c r="B892" s="318"/>
      <c r="C892" s="317"/>
      <c r="D892" s="317"/>
      <c r="E892" s="318"/>
      <c r="F892" s="318"/>
      <c r="G892" s="317"/>
      <c r="H892" s="327"/>
      <c r="I892" s="321"/>
      <c r="J892" s="328"/>
      <c r="K892" s="328"/>
      <c r="L892" s="317"/>
      <c r="M892" s="317"/>
      <c r="N892" s="317"/>
      <c r="O892" s="317"/>
      <c r="P892" s="317"/>
      <c r="Q892" s="317"/>
      <c r="R892" s="317"/>
      <c r="S892" s="317"/>
      <c r="T892" s="317"/>
    </row>
    <row r="893" ht="15.75" customHeight="1">
      <c r="A893" s="317"/>
      <c r="B893" s="318"/>
      <c r="C893" s="317"/>
      <c r="D893" s="317"/>
      <c r="E893" s="318"/>
      <c r="F893" s="318"/>
      <c r="G893" s="317"/>
      <c r="H893" s="327"/>
      <c r="I893" s="321"/>
      <c r="J893" s="328"/>
      <c r="K893" s="328"/>
      <c r="L893" s="317"/>
      <c r="M893" s="317"/>
      <c r="N893" s="317"/>
      <c r="O893" s="317"/>
      <c r="P893" s="317"/>
      <c r="Q893" s="317"/>
      <c r="R893" s="317"/>
      <c r="S893" s="317"/>
      <c r="T893" s="317"/>
    </row>
    <row r="894" ht="15.75" customHeight="1">
      <c r="A894" s="317"/>
      <c r="B894" s="318"/>
      <c r="C894" s="317"/>
      <c r="D894" s="317"/>
      <c r="E894" s="318"/>
      <c r="F894" s="318"/>
      <c r="G894" s="317"/>
      <c r="H894" s="327"/>
      <c r="I894" s="321"/>
      <c r="J894" s="328"/>
      <c r="K894" s="328"/>
      <c r="L894" s="317"/>
      <c r="M894" s="317"/>
      <c r="N894" s="317"/>
      <c r="O894" s="317"/>
      <c r="P894" s="317"/>
      <c r="Q894" s="317"/>
      <c r="R894" s="317"/>
      <c r="S894" s="317"/>
      <c r="T894" s="317"/>
    </row>
    <row r="895" ht="15.75" customHeight="1">
      <c r="A895" s="317"/>
      <c r="B895" s="318"/>
      <c r="C895" s="317"/>
      <c r="D895" s="317"/>
      <c r="E895" s="318"/>
      <c r="F895" s="318"/>
      <c r="G895" s="317"/>
      <c r="H895" s="327"/>
      <c r="I895" s="321"/>
      <c r="J895" s="328"/>
      <c r="K895" s="328"/>
      <c r="L895" s="317"/>
      <c r="M895" s="317"/>
      <c r="N895" s="317"/>
      <c r="O895" s="317"/>
      <c r="P895" s="317"/>
      <c r="Q895" s="317"/>
      <c r="R895" s="317"/>
      <c r="S895" s="317"/>
      <c r="T895" s="317"/>
    </row>
    <row r="896" ht="15.75" customHeight="1">
      <c r="A896" s="317"/>
      <c r="B896" s="318"/>
      <c r="C896" s="317"/>
      <c r="D896" s="317"/>
      <c r="E896" s="318"/>
      <c r="F896" s="318"/>
      <c r="G896" s="317"/>
      <c r="H896" s="327"/>
      <c r="I896" s="321"/>
      <c r="J896" s="328"/>
      <c r="K896" s="328"/>
      <c r="L896" s="317"/>
      <c r="M896" s="317"/>
      <c r="N896" s="317"/>
      <c r="O896" s="317"/>
      <c r="P896" s="317"/>
      <c r="Q896" s="317"/>
      <c r="R896" s="317"/>
      <c r="S896" s="317"/>
      <c r="T896" s="317"/>
    </row>
    <row r="897" ht="15.75" customHeight="1">
      <c r="A897" s="317"/>
      <c r="B897" s="318"/>
      <c r="C897" s="317"/>
      <c r="D897" s="317"/>
      <c r="E897" s="318"/>
      <c r="F897" s="318"/>
      <c r="G897" s="317"/>
      <c r="H897" s="327"/>
      <c r="I897" s="321"/>
      <c r="J897" s="328"/>
      <c r="K897" s="328"/>
      <c r="L897" s="317"/>
      <c r="M897" s="317"/>
      <c r="N897" s="317"/>
      <c r="O897" s="317"/>
      <c r="P897" s="317"/>
      <c r="Q897" s="317"/>
      <c r="R897" s="317"/>
      <c r="S897" s="317"/>
      <c r="T897" s="317"/>
    </row>
    <row r="898" ht="15.75" customHeight="1">
      <c r="A898" s="317"/>
      <c r="B898" s="318"/>
      <c r="C898" s="317"/>
      <c r="D898" s="317"/>
      <c r="E898" s="318"/>
      <c r="F898" s="318"/>
      <c r="G898" s="317"/>
      <c r="H898" s="327"/>
      <c r="I898" s="321"/>
      <c r="J898" s="328"/>
      <c r="K898" s="328"/>
      <c r="L898" s="317"/>
      <c r="M898" s="317"/>
      <c r="N898" s="317"/>
      <c r="O898" s="317"/>
      <c r="P898" s="317"/>
      <c r="Q898" s="317"/>
      <c r="R898" s="317"/>
      <c r="S898" s="317"/>
      <c r="T898" s="317"/>
    </row>
    <row r="899" ht="15.75" customHeight="1">
      <c r="A899" s="317"/>
      <c r="B899" s="318"/>
      <c r="C899" s="317"/>
      <c r="D899" s="317"/>
      <c r="E899" s="318"/>
      <c r="F899" s="318"/>
      <c r="G899" s="317"/>
      <c r="H899" s="327"/>
      <c r="I899" s="321"/>
      <c r="J899" s="328"/>
      <c r="K899" s="328"/>
      <c r="L899" s="317"/>
      <c r="M899" s="317"/>
      <c r="N899" s="317"/>
      <c r="O899" s="317"/>
      <c r="P899" s="317"/>
      <c r="Q899" s="317"/>
      <c r="R899" s="317"/>
      <c r="S899" s="317"/>
      <c r="T899" s="317"/>
    </row>
    <row r="900" ht="15.75" customHeight="1">
      <c r="A900" s="317"/>
      <c r="B900" s="318"/>
      <c r="C900" s="317"/>
      <c r="D900" s="317"/>
      <c r="E900" s="318"/>
      <c r="F900" s="318"/>
      <c r="G900" s="317"/>
      <c r="H900" s="327"/>
      <c r="I900" s="321"/>
      <c r="J900" s="328"/>
      <c r="K900" s="328"/>
      <c r="L900" s="317"/>
      <c r="M900" s="317"/>
      <c r="N900" s="317"/>
      <c r="O900" s="317"/>
      <c r="P900" s="317"/>
      <c r="Q900" s="317"/>
      <c r="R900" s="317"/>
      <c r="S900" s="317"/>
      <c r="T900" s="317"/>
    </row>
    <row r="901" ht="15.75" customHeight="1">
      <c r="A901" s="317"/>
      <c r="B901" s="318"/>
      <c r="C901" s="317"/>
      <c r="D901" s="317"/>
      <c r="E901" s="318"/>
      <c r="F901" s="318"/>
      <c r="G901" s="317"/>
      <c r="H901" s="327"/>
      <c r="I901" s="321"/>
      <c r="J901" s="328"/>
      <c r="K901" s="328"/>
      <c r="L901" s="317"/>
      <c r="M901" s="317"/>
      <c r="N901" s="317"/>
      <c r="O901" s="317"/>
      <c r="P901" s="317"/>
      <c r="Q901" s="317"/>
      <c r="R901" s="317"/>
      <c r="S901" s="317"/>
      <c r="T901" s="317"/>
    </row>
    <row r="902" ht="15.75" customHeight="1">
      <c r="A902" s="317"/>
      <c r="B902" s="318"/>
      <c r="C902" s="317"/>
      <c r="D902" s="317"/>
      <c r="E902" s="318"/>
      <c r="F902" s="318"/>
      <c r="G902" s="317"/>
      <c r="H902" s="327"/>
      <c r="I902" s="321"/>
      <c r="J902" s="328"/>
      <c r="K902" s="328"/>
      <c r="L902" s="317"/>
      <c r="M902" s="317"/>
      <c r="N902" s="317"/>
      <c r="O902" s="317"/>
      <c r="P902" s="317"/>
      <c r="Q902" s="317"/>
      <c r="R902" s="317"/>
      <c r="S902" s="317"/>
      <c r="T902" s="317"/>
    </row>
    <row r="903" ht="15.75" customHeight="1">
      <c r="A903" s="317"/>
      <c r="B903" s="318"/>
      <c r="C903" s="317"/>
      <c r="D903" s="317"/>
      <c r="E903" s="318"/>
      <c r="F903" s="318"/>
      <c r="G903" s="317"/>
      <c r="H903" s="327"/>
      <c r="I903" s="321"/>
      <c r="J903" s="328"/>
      <c r="K903" s="328"/>
      <c r="L903" s="317"/>
      <c r="M903" s="317"/>
      <c r="N903" s="317"/>
      <c r="O903" s="317"/>
      <c r="P903" s="317"/>
      <c r="Q903" s="317"/>
      <c r="R903" s="317"/>
      <c r="S903" s="317"/>
      <c r="T903" s="317"/>
    </row>
    <row r="904" ht="15.75" customHeight="1">
      <c r="A904" s="317"/>
      <c r="B904" s="318"/>
      <c r="C904" s="317"/>
      <c r="D904" s="317"/>
      <c r="E904" s="318"/>
      <c r="F904" s="318"/>
      <c r="G904" s="317"/>
      <c r="H904" s="327"/>
      <c r="I904" s="321"/>
      <c r="J904" s="328"/>
      <c r="K904" s="328"/>
      <c r="L904" s="317"/>
      <c r="M904" s="317"/>
      <c r="N904" s="317"/>
      <c r="O904" s="317"/>
      <c r="P904" s="317"/>
      <c r="Q904" s="317"/>
      <c r="R904" s="317"/>
      <c r="S904" s="317"/>
      <c r="T904" s="317"/>
    </row>
    <row r="905" ht="15.75" customHeight="1">
      <c r="A905" s="317"/>
      <c r="B905" s="318"/>
      <c r="C905" s="317"/>
      <c r="D905" s="317"/>
      <c r="E905" s="318"/>
      <c r="F905" s="318"/>
      <c r="G905" s="317"/>
      <c r="H905" s="327"/>
      <c r="I905" s="321"/>
      <c r="J905" s="328"/>
      <c r="K905" s="328"/>
      <c r="L905" s="317"/>
      <c r="M905" s="317"/>
      <c r="N905" s="317"/>
      <c r="O905" s="317"/>
      <c r="P905" s="317"/>
      <c r="Q905" s="317"/>
      <c r="R905" s="317"/>
      <c r="S905" s="317"/>
      <c r="T905" s="317"/>
    </row>
    <row r="906" ht="15.75" customHeight="1">
      <c r="A906" s="317"/>
      <c r="B906" s="318"/>
      <c r="C906" s="317"/>
      <c r="D906" s="317"/>
      <c r="E906" s="318"/>
      <c r="F906" s="318"/>
      <c r="G906" s="317"/>
      <c r="H906" s="327"/>
      <c r="I906" s="321"/>
      <c r="J906" s="328"/>
      <c r="K906" s="328"/>
      <c r="L906" s="317"/>
      <c r="M906" s="317"/>
      <c r="N906" s="317"/>
      <c r="O906" s="317"/>
      <c r="P906" s="317"/>
      <c r="Q906" s="317"/>
      <c r="R906" s="317"/>
      <c r="S906" s="317"/>
      <c r="T906" s="317"/>
    </row>
    <row r="907" ht="15.75" customHeight="1">
      <c r="A907" s="317"/>
      <c r="B907" s="318"/>
      <c r="C907" s="317"/>
      <c r="D907" s="317"/>
      <c r="E907" s="318"/>
      <c r="F907" s="318"/>
      <c r="G907" s="317"/>
      <c r="H907" s="327"/>
      <c r="I907" s="321"/>
      <c r="J907" s="328"/>
      <c r="K907" s="328"/>
      <c r="L907" s="317"/>
      <c r="M907" s="317"/>
      <c r="N907" s="317"/>
      <c r="O907" s="317"/>
      <c r="P907" s="317"/>
      <c r="Q907" s="317"/>
      <c r="R907" s="317"/>
      <c r="S907" s="317"/>
      <c r="T907" s="317"/>
    </row>
    <row r="908" ht="15.75" customHeight="1">
      <c r="A908" s="317"/>
      <c r="B908" s="318"/>
      <c r="C908" s="317"/>
      <c r="D908" s="317"/>
      <c r="E908" s="318"/>
      <c r="F908" s="318"/>
      <c r="G908" s="317"/>
      <c r="H908" s="327"/>
      <c r="I908" s="321"/>
      <c r="J908" s="328"/>
      <c r="K908" s="328"/>
      <c r="L908" s="317"/>
      <c r="M908" s="317"/>
      <c r="N908" s="317"/>
      <c r="O908" s="317"/>
      <c r="P908" s="317"/>
      <c r="Q908" s="317"/>
      <c r="R908" s="317"/>
      <c r="S908" s="317"/>
      <c r="T908" s="317"/>
    </row>
    <row r="909" ht="15.75" customHeight="1">
      <c r="A909" s="317"/>
      <c r="B909" s="318"/>
      <c r="C909" s="317"/>
      <c r="D909" s="317"/>
      <c r="E909" s="318"/>
      <c r="F909" s="318"/>
      <c r="G909" s="317"/>
      <c r="H909" s="327"/>
      <c r="I909" s="321"/>
      <c r="J909" s="328"/>
      <c r="K909" s="328"/>
      <c r="L909" s="317"/>
      <c r="M909" s="317"/>
      <c r="N909" s="317"/>
      <c r="O909" s="317"/>
      <c r="P909" s="317"/>
      <c r="Q909" s="317"/>
      <c r="R909" s="317"/>
      <c r="S909" s="317"/>
      <c r="T909" s="317"/>
    </row>
    <row r="910" ht="15.75" customHeight="1">
      <c r="A910" s="317"/>
      <c r="B910" s="318"/>
      <c r="C910" s="317"/>
      <c r="D910" s="317"/>
      <c r="E910" s="318"/>
      <c r="F910" s="318"/>
      <c r="G910" s="317"/>
      <c r="H910" s="327"/>
      <c r="I910" s="321"/>
      <c r="J910" s="328"/>
      <c r="K910" s="328"/>
      <c r="L910" s="317"/>
      <c r="M910" s="317"/>
      <c r="N910" s="317"/>
      <c r="O910" s="317"/>
      <c r="P910" s="317"/>
      <c r="Q910" s="317"/>
      <c r="R910" s="317"/>
      <c r="S910" s="317"/>
      <c r="T910" s="317"/>
    </row>
    <row r="911" ht="15.75" customHeight="1">
      <c r="A911" s="317"/>
      <c r="B911" s="318"/>
      <c r="C911" s="317"/>
      <c r="D911" s="317"/>
      <c r="E911" s="318"/>
      <c r="F911" s="318"/>
      <c r="G911" s="317"/>
      <c r="H911" s="327"/>
      <c r="I911" s="321"/>
      <c r="J911" s="328"/>
      <c r="K911" s="328"/>
      <c r="L911" s="317"/>
      <c r="M911" s="317"/>
      <c r="N911" s="317"/>
      <c r="O911" s="317"/>
      <c r="P911" s="317"/>
      <c r="Q911" s="317"/>
      <c r="R911" s="317"/>
      <c r="S911" s="317"/>
      <c r="T911" s="317"/>
    </row>
    <row r="912" ht="15.75" customHeight="1">
      <c r="A912" s="317"/>
      <c r="B912" s="318"/>
      <c r="C912" s="317"/>
      <c r="D912" s="317"/>
      <c r="E912" s="318"/>
      <c r="F912" s="318"/>
      <c r="G912" s="317"/>
      <c r="H912" s="327"/>
      <c r="I912" s="321"/>
      <c r="J912" s="328"/>
      <c r="K912" s="328"/>
      <c r="L912" s="317"/>
      <c r="M912" s="317"/>
      <c r="N912" s="317"/>
      <c r="O912" s="317"/>
      <c r="P912" s="317"/>
      <c r="Q912" s="317"/>
      <c r="R912" s="317"/>
      <c r="S912" s="317"/>
      <c r="T912" s="317"/>
    </row>
    <row r="913" ht="15.75" customHeight="1">
      <c r="A913" s="317"/>
      <c r="B913" s="318"/>
      <c r="C913" s="317"/>
      <c r="D913" s="317"/>
      <c r="E913" s="318"/>
      <c r="F913" s="318"/>
      <c r="G913" s="317"/>
      <c r="H913" s="327"/>
      <c r="I913" s="321"/>
      <c r="J913" s="328"/>
      <c r="K913" s="328"/>
      <c r="L913" s="317"/>
      <c r="M913" s="317"/>
      <c r="N913" s="317"/>
      <c r="O913" s="317"/>
      <c r="P913" s="317"/>
      <c r="Q913" s="317"/>
      <c r="R913" s="317"/>
      <c r="S913" s="317"/>
      <c r="T913" s="317"/>
    </row>
    <row r="914" ht="15.75" customHeight="1">
      <c r="A914" s="317"/>
      <c r="B914" s="318"/>
      <c r="C914" s="317"/>
      <c r="D914" s="317"/>
      <c r="E914" s="318"/>
      <c r="F914" s="318"/>
      <c r="G914" s="317"/>
      <c r="H914" s="327"/>
      <c r="I914" s="321"/>
      <c r="J914" s="328"/>
      <c r="K914" s="328"/>
      <c r="L914" s="317"/>
      <c r="M914" s="317"/>
      <c r="N914" s="317"/>
      <c r="O914" s="317"/>
      <c r="P914" s="317"/>
      <c r="Q914" s="317"/>
      <c r="R914" s="317"/>
      <c r="S914" s="317"/>
      <c r="T914" s="317"/>
    </row>
    <row r="915" ht="15.75" customHeight="1">
      <c r="A915" s="317"/>
      <c r="B915" s="318"/>
      <c r="C915" s="317"/>
      <c r="D915" s="317"/>
      <c r="E915" s="318"/>
      <c r="F915" s="318"/>
      <c r="G915" s="317"/>
      <c r="H915" s="327"/>
      <c r="I915" s="321"/>
      <c r="J915" s="328"/>
      <c r="K915" s="328"/>
      <c r="L915" s="317"/>
      <c r="M915" s="317"/>
      <c r="N915" s="317"/>
      <c r="O915" s="317"/>
      <c r="P915" s="317"/>
      <c r="Q915" s="317"/>
      <c r="R915" s="317"/>
      <c r="S915" s="317"/>
      <c r="T915" s="317"/>
    </row>
    <row r="916" ht="15.75" customHeight="1">
      <c r="A916" s="317"/>
      <c r="B916" s="318"/>
      <c r="C916" s="317"/>
      <c r="D916" s="317"/>
      <c r="E916" s="318"/>
      <c r="F916" s="318"/>
      <c r="G916" s="317"/>
      <c r="H916" s="327"/>
      <c r="I916" s="321"/>
      <c r="J916" s="328"/>
      <c r="K916" s="328"/>
      <c r="L916" s="317"/>
      <c r="M916" s="317"/>
      <c r="N916" s="317"/>
      <c r="O916" s="317"/>
      <c r="P916" s="317"/>
      <c r="Q916" s="317"/>
      <c r="R916" s="317"/>
      <c r="S916" s="317"/>
      <c r="T916" s="317"/>
    </row>
    <row r="917" ht="15.75" customHeight="1">
      <c r="A917" s="317"/>
      <c r="B917" s="318"/>
      <c r="C917" s="317"/>
      <c r="D917" s="317"/>
      <c r="E917" s="318"/>
      <c r="F917" s="318"/>
      <c r="G917" s="317"/>
      <c r="H917" s="327"/>
      <c r="I917" s="321"/>
      <c r="J917" s="328"/>
      <c r="K917" s="328"/>
      <c r="L917" s="317"/>
      <c r="M917" s="317"/>
      <c r="N917" s="317"/>
      <c r="O917" s="317"/>
      <c r="P917" s="317"/>
      <c r="Q917" s="317"/>
      <c r="R917" s="317"/>
      <c r="S917" s="317"/>
      <c r="T917" s="317"/>
    </row>
    <row r="918" ht="15.75" customHeight="1">
      <c r="A918" s="317"/>
      <c r="B918" s="318"/>
      <c r="C918" s="317"/>
      <c r="D918" s="317"/>
      <c r="E918" s="318"/>
      <c r="F918" s="318"/>
      <c r="G918" s="317"/>
      <c r="H918" s="327"/>
      <c r="I918" s="321"/>
      <c r="J918" s="328"/>
      <c r="K918" s="328"/>
      <c r="L918" s="317"/>
      <c r="M918" s="317"/>
      <c r="N918" s="317"/>
      <c r="O918" s="317"/>
      <c r="P918" s="317"/>
      <c r="Q918" s="317"/>
      <c r="R918" s="317"/>
      <c r="S918" s="317"/>
      <c r="T918" s="317"/>
    </row>
    <row r="919" ht="15.75" customHeight="1">
      <c r="A919" s="317"/>
      <c r="B919" s="318"/>
      <c r="C919" s="317"/>
      <c r="D919" s="317"/>
      <c r="E919" s="318"/>
      <c r="F919" s="318"/>
      <c r="G919" s="317"/>
      <c r="H919" s="327"/>
      <c r="I919" s="321"/>
      <c r="J919" s="328"/>
      <c r="K919" s="328"/>
      <c r="L919" s="317"/>
      <c r="M919" s="317"/>
      <c r="N919" s="317"/>
      <c r="O919" s="317"/>
      <c r="P919" s="317"/>
      <c r="Q919" s="317"/>
      <c r="R919" s="317"/>
      <c r="S919" s="317"/>
      <c r="T919" s="317"/>
    </row>
    <row r="920" ht="15.75" customHeight="1">
      <c r="A920" s="317"/>
      <c r="B920" s="318"/>
      <c r="C920" s="317"/>
      <c r="D920" s="317"/>
      <c r="E920" s="318"/>
      <c r="F920" s="318"/>
      <c r="G920" s="317"/>
      <c r="H920" s="327"/>
      <c r="I920" s="321"/>
      <c r="J920" s="328"/>
      <c r="K920" s="328"/>
      <c r="L920" s="317"/>
      <c r="M920" s="317"/>
      <c r="N920" s="317"/>
      <c r="O920" s="317"/>
      <c r="P920" s="317"/>
      <c r="Q920" s="317"/>
      <c r="R920" s="317"/>
      <c r="S920" s="317"/>
      <c r="T920" s="317"/>
    </row>
    <row r="921" ht="15.75" customHeight="1">
      <c r="A921" s="317"/>
      <c r="B921" s="318"/>
      <c r="C921" s="317"/>
      <c r="D921" s="317"/>
      <c r="E921" s="318"/>
      <c r="F921" s="318"/>
      <c r="G921" s="317"/>
      <c r="H921" s="327"/>
      <c r="I921" s="321"/>
      <c r="J921" s="328"/>
      <c r="K921" s="328"/>
      <c r="L921" s="317"/>
      <c r="M921" s="317"/>
      <c r="N921" s="317"/>
      <c r="O921" s="317"/>
      <c r="P921" s="317"/>
      <c r="Q921" s="317"/>
      <c r="R921" s="317"/>
      <c r="S921" s="317"/>
      <c r="T921" s="317"/>
    </row>
    <row r="922" ht="15.75" customHeight="1">
      <c r="A922" s="317"/>
      <c r="B922" s="318"/>
      <c r="C922" s="317"/>
      <c r="D922" s="317"/>
      <c r="E922" s="318"/>
      <c r="F922" s="318"/>
      <c r="G922" s="317"/>
      <c r="H922" s="327"/>
      <c r="I922" s="321"/>
      <c r="J922" s="328"/>
      <c r="K922" s="328"/>
      <c r="L922" s="317"/>
      <c r="M922" s="317"/>
      <c r="N922" s="317"/>
      <c r="O922" s="317"/>
      <c r="P922" s="317"/>
      <c r="Q922" s="317"/>
      <c r="R922" s="317"/>
      <c r="S922" s="317"/>
      <c r="T922" s="317"/>
    </row>
    <row r="923" ht="15.75" customHeight="1">
      <c r="A923" s="317"/>
      <c r="B923" s="318"/>
      <c r="C923" s="317"/>
      <c r="D923" s="317"/>
      <c r="E923" s="318"/>
      <c r="F923" s="318"/>
      <c r="G923" s="317"/>
      <c r="H923" s="327"/>
      <c r="I923" s="321"/>
      <c r="J923" s="328"/>
      <c r="K923" s="328"/>
      <c r="L923" s="317"/>
      <c r="M923" s="317"/>
      <c r="N923" s="317"/>
      <c r="O923" s="317"/>
      <c r="P923" s="317"/>
      <c r="Q923" s="317"/>
      <c r="R923" s="317"/>
      <c r="S923" s="317"/>
      <c r="T923" s="317"/>
    </row>
    <row r="924" ht="15.75" customHeight="1">
      <c r="A924" s="317"/>
      <c r="B924" s="318"/>
      <c r="C924" s="317"/>
      <c r="D924" s="317"/>
      <c r="E924" s="318"/>
      <c r="F924" s="318"/>
      <c r="G924" s="317"/>
      <c r="H924" s="327"/>
      <c r="I924" s="321"/>
      <c r="J924" s="328"/>
      <c r="K924" s="328"/>
      <c r="L924" s="317"/>
      <c r="M924" s="317"/>
      <c r="N924" s="317"/>
      <c r="O924" s="317"/>
      <c r="P924" s="317"/>
      <c r="Q924" s="317"/>
      <c r="R924" s="317"/>
      <c r="S924" s="317"/>
      <c r="T924" s="317"/>
    </row>
    <row r="925" ht="15.75" customHeight="1">
      <c r="A925" s="317"/>
      <c r="B925" s="318"/>
      <c r="C925" s="317"/>
      <c r="D925" s="317"/>
      <c r="E925" s="318"/>
      <c r="F925" s="318"/>
      <c r="G925" s="317"/>
      <c r="H925" s="327"/>
      <c r="I925" s="321"/>
      <c r="J925" s="328"/>
      <c r="K925" s="328"/>
      <c r="L925" s="317"/>
      <c r="M925" s="317"/>
      <c r="N925" s="317"/>
      <c r="O925" s="317"/>
      <c r="P925" s="317"/>
      <c r="Q925" s="317"/>
      <c r="R925" s="317"/>
      <c r="S925" s="317"/>
      <c r="T925" s="317"/>
    </row>
    <row r="926" ht="15.75" customHeight="1">
      <c r="A926" s="317"/>
      <c r="B926" s="318"/>
      <c r="C926" s="317"/>
      <c r="D926" s="317"/>
      <c r="E926" s="318"/>
      <c r="F926" s="318"/>
      <c r="G926" s="317"/>
      <c r="H926" s="327"/>
      <c r="I926" s="321"/>
      <c r="J926" s="328"/>
      <c r="K926" s="328"/>
      <c r="L926" s="317"/>
      <c r="M926" s="317"/>
      <c r="N926" s="317"/>
      <c r="O926" s="317"/>
      <c r="P926" s="317"/>
      <c r="Q926" s="317"/>
      <c r="R926" s="317"/>
      <c r="S926" s="317"/>
      <c r="T926" s="317"/>
    </row>
    <row r="927" ht="15.75" customHeight="1">
      <c r="A927" s="317"/>
      <c r="B927" s="318"/>
      <c r="C927" s="317"/>
      <c r="D927" s="317"/>
      <c r="E927" s="318"/>
      <c r="F927" s="318"/>
      <c r="G927" s="317"/>
      <c r="H927" s="327"/>
      <c r="I927" s="321"/>
      <c r="J927" s="328"/>
      <c r="K927" s="328"/>
      <c r="L927" s="317"/>
      <c r="M927" s="317"/>
      <c r="N927" s="317"/>
      <c r="O927" s="317"/>
      <c r="P927" s="317"/>
      <c r="Q927" s="317"/>
      <c r="R927" s="317"/>
      <c r="S927" s="317"/>
      <c r="T927" s="317"/>
    </row>
    <row r="928" ht="15.75" customHeight="1">
      <c r="A928" s="317"/>
      <c r="B928" s="318"/>
      <c r="C928" s="317"/>
      <c r="D928" s="317"/>
      <c r="E928" s="318"/>
      <c r="F928" s="318"/>
      <c r="G928" s="317"/>
      <c r="H928" s="327"/>
      <c r="I928" s="321"/>
      <c r="J928" s="328"/>
      <c r="K928" s="328"/>
      <c r="L928" s="317"/>
      <c r="M928" s="317"/>
      <c r="N928" s="317"/>
      <c r="O928" s="317"/>
      <c r="P928" s="317"/>
      <c r="Q928" s="317"/>
      <c r="R928" s="317"/>
      <c r="S928" s="317"/>
      <c r="T928" s="317"/>
    </row>
    <row r="929" ht="15.75" customHeight="1">
      <c r="A929" s="317"/>
      <c r="B929" s="318"/>
      <c r="C929" s="317"/>
      <c r="D929" s="317"/>
      <c r="E929" s="318"/>
      <c r="F929" s="318"/>
      <c r="G929" s="317"/>
      <c r="H929" s="327"/>
      <c r="I929" s="321"/>
      <c r="J929" s="328"/>
      <c r="K929" s="328"/>
      <c r="L929" s="317"/>
      <c r="M929" s="317"/>
      <c r="N929" s="317"/>
      <c r="O929" s="317"/>
      <c r="P929" s="317"/>
      <c r="Q929" s="317"/>
      <c r="R929" s="317"/>
      <c r="S929" s="317"/>
      <c r="T929" s="317"/>
    </row>
    <row r="930" ht="15.75" customHeight="1">
      <c r="A930" s="317"/>
      <c r="B930" s="318"/>
      <c r="C930" s="317"/>
      <c r="D930" s="317"/>
      <c r="E930" s="318"/>
      <c r="F930" s="318"/>
      <c r="G930" s="317"/>
      <c r="H930" s="327"/>
      <c r="I930" s="321"/>
      <c r="J930" s="328"/>
      <c r="K930" s="328"/>
      <c r="L930" s="317"/>
      <c r="M930" s="317"/>
      <c r="N930" s="317"/>
      <c r="O930" s="317"/>
      <c r="P930" s="317"/>
      <c r="Q930" s="317"/>
      <c r="R930" s="317"/>
      <c r="S930" s="317"/>
      <c r="T930" s="317"/>
    </row>
    <row r="931" ht="15.75" customHeight="1">
      <c r="A931" s="317"/>
      <c r="B931" s="318"/>
      <c r="C931" s="317"/>
      <c r="D931" s="317"/>
      <c r="E931" s="318"/>
      <c r="F931" s="318"/>
      <c r="G931" s="317"/>
      <c r="H931" s="327"/>
      <c r="I931" s="321"/>
      <c r="J931" s="328"/>
      <c r="K931" s="328"/>
      <c r="L931" s="317"/>
      <c r="M931" s="317"/>
      <c r="N931" s="317"/>
      <c r="O931" s="317"/>
      <c r="P931" s="317"/>
      <c r="Q931" s="317"/>
      <c r="R931" s="317"/>
      <c r="S931" s="317"/>
      <c r="T931" s="317"/>
    </row>
    <row r="932" ht="15.75" customHeight="1">
      <c r="A932" s="317"/>
      <c r="B932" s="318"/>
      <c r="C932" s="317"/>
      <c r="D932" s="317"/>
      <c r="E932" s="318"/>
      <c r="F932" s="318"/>
      <c r="G932" s="317"/>
      <c r="H932" s="327"/>
      <c r="I932" s="321"/>
      <c r="J932" s="328"/>
      <c r="K932" s="328"/>
      <c r="L932" s="317"/>
      <c r="M932" s="317"/>
      <c r="N932" s="317"/>
      <c r="O932" s="317"/>
      <c r="P932" s="317"/>
      <c r="Q932" s="317"/>
      <c r="R932" s="317"/>
      <c r="S932" s="317"/>
      <c r="T932" s="317"/>
    </row>
    <row r="933" ht="15.75" customHeight="1">
      <c r="A933" s="317"/>
      <c r="B933" s="318"/>
      <c r="C933" s="317"/>
      <c r="D933" s="317"/>
      <c r="E933" s="318"/>
      <c r="F933" s="318"/>
      <c r="G933" s="317"/>
      <c r="H933" s="327"/>
      <c r="I933" s="321"/>
      <c r="J933" s="328"/>
      <c r="K933" s="328"/>
      <c r="L933" s="317"/>
      <c r="M933" s="317"/>
      <c r="N933" s="317"/>
      <c r="O933" s="317"/>
      <c r="P933" s="317"/>
      <c r="Q933" s="317"/>
      <c r="R933" s="317"/>
      <c r="S933" s="317"/>
      <c r="T933" s="317"/>
    </row>
    <row r="934" ht="15.75" customHeight="1">
      <c r="A934" s="317"/>
      <c r="B934" s="318"/>
      <c r="C934" s="317"/>
      <c r="D934" s="317"/>
      <c r="E934" s="318"/>
      <c r="F934" s="318"/>
      <c r="G934" s="317"/>
      <c r="H934" s="327"/>
      <c r="I934" s="321"/>
      <c r="J934" s="328"/>
      <c r="K934" s="328"/>
      <c r="L934" s="317"/>
      <c r="M934" s="317"/>
      <c r="N934" s="317"/>
      <c r="O934" s="317"/>
      <c r="P934" s="317"/>
      <c r="Q934" s="317"/>
      <c r="R934" s="317"/>
      <c r="S934" s="317"/>
      <c r="T934" s="317"/>
    </row>
    <row r="935" ht="15.75" customHeight="1">
      <c r="A935" s="317"/>
      <c r="B935" s="318"/>
      <c r="C935" s="317"/>
      <c r="D935" s="317"/>
      <c r="E935" s="318"/>
      <c r="F935" s="318"/>
      <c r="G935" s="317"/>
      <c r="H935" s="327"/>
      <c r="I935" s="321"/>
      <c r="J935" s="328"/>
      <c r="K935" s="328"/>
      <c r="L935" s="317"/>
      <c r="M935" s="317"/>
      <c r="N935" s="317"/>
      <c r="O935" s="317"/>
      <c r="P935" s="317"/>
      <c r="Q935" s="317"/>
      <c r="R935" s="317"/>
      <c r="S935" s="317"/>
      <c r="T935" s="317"/>
    </row>
    <row r="936" ht="15.75" customHeight="1">
      <c r="A936" s="317"/>
      <c r="B936" s="318"/>
      <c r="C936" s="317"/>
      <c r="D936" s="317"/>
      <c r="E936" s="318"/>
      <c r="F936" s="318"/>
      <c r="G936" s="317"/>
      <c r="H936" s="327"/>
      <c r="I936" s="321"/>
      <c r="J936" s="328"/>
      <c r="K936" s="328"/>
      <c r="L936" s="317"/>
      <c r="M936" s="317"/>
      <c r="N936" s="317"/>
      <c r="O936" s="317"/>
      <c r="P936" s="317"/>
      <c r="Q936" s="317"/>
      <c r="R936" s="317"/>
      <c r="S936" s="317"/>
      <c r="T936" s="317"/>
    </row>
    <row r="937" ht="15.75" customHeight="1">
      <c r="A937" s="317"/>
      <c r="B937" s="318"/>
      <c r="C937" s="317"/>
      <c r="D937" s="317"/>
      <c r="E937" s="318"/>
      <c r="F937" s="318"/>
      <c r="G937" s="317"/>
      <c r="H937" s="327"/>
      <c r="I937" s="321"/>
      <c r="J937" s="328"/>
      <c r="K937" s="328"/>
      <c r="L937" s="317"/>
      <c r="M937" s="317"/>
      <c r="N937" s="317"/>
      <c r="O937" s="317"/>
      <c r="P937" s="317"/>
      <c r="Q937" s="317"/>
      <c r="R937" s="317"/>
      <c r="S937" s="317"/>
      <c r="T937" s="317"/>
    </row>
    <row r="938" ht="15.75" customHeight="1">
      <c r="A938" s="317"/>
      <c r="B938" s="318"/>
      <c r="C938" s="317"/>
      <c r="D938" s="317"/>
      <c r="E938" s="318"/>
      <c r="F938" s="318"/>
      <c r="G938" s="317"/>
      <c r="H938" s="327"/>
      <c r="I938" s="321"/>
      <c r="J938" s="328"/>
      <c r="K938" s="328"/>
      <c r="L938" s="317"/>
      <c r="M938" s="317"/>
      <c r="N938" s="317"/>
      <c r="O938" s="317"/>
      <c r="P938" s="317"/>
      <c r="Q938" s="317"/>
      <c r="R938" s="317"/>
      <c r="S938" s="317"/>
      <c r="T938" s="317"/>
    </row>
    <row r="939" ht="15.75" customHeight="1">
      <c r="A939" s="317"/>
      <c r="B939" s="318"/>
      <c r="C939" s="317"/>
      <c r="D939" s="317"/>
      <c r="E939" s="318"/>
      <c r="F939" s="318"/>
      <c r="G939" s="317"/>
      <c r="H939" s="327"/>
      <c r="I939" s="321"/>
      <c r="J939" s="328"/>
      <c r="K939" s="328"/>
      <c r="L939" s="317"/>
      <c r="M939" s="317"/>
      <c r="N939" s="317"/>
      <c r="O939" s="317"/>
      <c r="P939" s="317"/>
      <c r="Q939" s="317"/>
      <c r="R939" s="317"/>
      <c r="S939" s="317"/>
      <c r="T939" s="317"/>
    </row>
    <row r="940" ht="15.75" customHeight="1">
      <c r="A940" s="317"/>
      <c r="B940" s="318"/>
      <c r="C940" s="317"/>
      <c r="D940" s="317"/>
      <c r="E940" s="318"/>
      <c r="F940" s="318"/>
      <c r="G940" s="317"/>
      <c r="H940" s="327"/>
      <c r="I940" s="321"/>
      <c r="J940" s="328"/>
      <c r="K940" s="328"/>
      <c r="L940" s="317"/>
      <c r="M940" s="317"/>
      <c r="N940" s="317"/>
      <c r="O940" s="317"/>
      <c r="P940" s="317"/>
      <c r="Q940" s="317"/>
      <c r="R940" s="317"/>
      <c r="S940" s="317"/>
      <c r="T940" s="317"/>
    </row>
    <row r="941" ht="15.75" customHeight="1">
      <c r="A941" s="317"/>
      <c r="B941" s="318"/>
      <c r="C941" s="317"/>
      <c r="D941" s="317"/>
      <c r="E941" s="318"/>
      <c r="F941" s="318"/>
      <c r="G941" s="317"/>
      <c r="H941" s="327"/>
      <c r="I941" s="321"/>
      <c r="J941" s="328"/>
      <c r="K941" s="328"/>
      <c r="L941" s="317"/>
      <c r="M941" s="317"/>
      <c r="N941" s="317"/>
      <c r="O941" s="317"/>
      <c r="P941" s="317"/>
      <c r="Q941" s="317"/>
      <c r="R941" s="317"/>
      <c r="S941" s="317"/>
      <c r="T941" s="317"/>
    </row>
    <row r="942" ht="15.75" customHeight="1">
      <c r="A942" s="317"/>
      <c r="B942" s="318"/>
      <c r="C942" s="317"/>
      <c r="D942" s="317"/>
      <c r="E942" s="318"/>
      <c r="F942" s="318"/>
      <c r="G942" s="317"/>
      <c r="H942" s="327"/>
      <c r="I942" s="321"/>
      <c r="J942" s="328"/>
      <c r="K942" s="328"/>
      <c r="L942" s="317"/>
      <c r="M942" s="317"/>
      <c r="N942" s="317"/>
      <c r="O942" s="317"/>
      <c r="P942" s="317"/>
      <c r="Q942" s="317"/>
      <c r="R942" s="317"/>
      <c r="S942" s="317"/>
      <c r="T942" s="317"/>
    </row>
    <row r="943" ht="15.75" customHeight="1">
      <c r="A943" s="317"/>
      <c r="B943" s="318"/>
      <c r="C943" s="317"/>
      <c r="D943" s="317"/>
      <c r="E943" s="318"/>
      <c r="F943" s="318"/>
      <c r="G943" s="317"/>
      <c r="H943" s="327"/>
      <c r="I943" s="321"/>
      <c r="J943" s="328"/>
      <c r="K943" s="328"/>
      <c r="L943" s="317"/>
      <c r="M943" s="317"/>
      <c r="N943" s="317"/>
      <c r="O943" s="317"/>
      <c r="P943" s="317"/>
      <c r="Q943" s="317"/>
      <c r="R943" s="317"/>
      <c r="S943" s="317"/>
      <c r="T943" s="317"/>
    </row>
    <row r="944" ht="15.75" customHeight="1">
      <c r="A944" s="317"/>
      <c r="B944" s="318"/>
      <c r="C944" s="317"/>
      <c r="D944" s="317"/>
      <c r="E944" s="318"/>
      <c r="F944" s="318"/>
      <c r="G944" s="317"/>
      <c r="H944" s="327"/>
      <c r="I944" s="321"/>
      <c r="J944" s="328"/>
      <c r="K944" s="328"/>
      <c r="L944" s="317"/>
      <c r="M944" s="317"/>
      <c r="N944" s="317"/>
      <c r="O944" s="317"/>
      <c r="P944" s="317"/>
      <c r="Q944" s="317"/>
      <c r="R944" s="317"/>
      <c r="S944" s="317"/>
      <c r="T944" s="317"/>
    </row>
    <row r="945" ht="15.75" customHeight="1">
      <c r="A945" s="317"/>
      <c r="B945" s="318"/>
      <c r="C945" s="317"/>
      <c r="D945" s="317"/>
      <c r="E945" s="318"/>
      <c r="F945" s="318"/>
      <c r="G945" s="317"/>
      <c r="H945" s="327"/>
      <c r="I945" s="321"/>
      <c r="J945" s="328"/>
      <c r="K945" s="328"/>
      <c r="L945" s="317"/>
      <c r="M945" s="317"/>
      <c r="N945" s="317"/>
      <c r="O945" s="317"/>
      <c r="P945" s="317"/>
      <c r="Q945" s="317"/>
      <c r="R945" s="317"/>
      <c r="S945" s="317"/>
      <c r="T945" s="317"/>
    </row>
    <row r="946" ht="15.75" customHeight="1">
      <c r="A946" s="317"/>
      <c r="B946" s="318"/>
      <c r="C946" s="317"/>
      <c r="D946" s="317"/>
      <c r="E946" s="318"/>
      <c r="F946" s="318"/>
      <c r="G946" s="317"/>
      <c r="H946" s="327"/>
      <c r="I946" s="321"/>
      <c r="J946" s="328"/>
      <c r="K946" s="328"/>
      <c r="L946" s="317"/>
      <c r="M946" s="317"/>
      <c r="N946" s="317"/>
      <c r="O946" s="317"/>
      <c r="P946" s="317"/>
      <c r="Q946" s="317"/>
      <c r="R946" s="317"/>
      <c r="S946" s="317"/>
      <c r="T946" s="317"/>
    </row>
    <row r="947" ht="15.75" customHeight="1">
      <c r="A947" s="317"/>
      <c r="B947" s="318"/>
      <c r="C947" s="317"/>
      <c r="D947" s="317"/>
      <c r="E947" s="318"/>
      <c r="F947" s="318"/>
      <c r="G947" s="317"/>
      <c r="H947" s="327"/>
      <c r="I947" s="321"/>
      <c r="J947" s="328"/>
      <c r="K947" s="328"/>
      <c r="L947" s="317"/>
      <c r="M947" s="317"/>
      <c r="N947" s="317"/>
      <c r="O947" s="317"/>
      <c r="P947" s="317"/>
      <c r="Q947" s="317"/>
      <c r="R947" s="317"/>
      <c r="S947" s="317"/>
      <c r="T947" s="317"/>
    </row>
    <row r="948" ht="15.75" customHeight="1">
      <c r="A948" s="317"/>
      <c r="B948" s="318"/>
      <c r="C948" s="317"/>
      <c r="D948" s="317"/>
      <c r="E948" s="318"/>
      <c r="F948" s="318"/>
      <c r="G948" s="317"/>
      <c r="H948" s="327"/>
      <c r="I948" s="321"/>
      <c r="J948" s="328"/>
      <c r="K948" s="328"/>
      <c r="L948" s="317"/>
      <c r="M948" s="317"/>
      <c r="N948" s="317"/>
      <c r="O948" s="317"/>
      <c r="P948" s="317"/>
      <c r="Q948" s="317"/>
      <c r="R948" s="317"/>
      <c r="S948" s="317"/>
      <c r="T948" s="317"/>
    </row>
    <row r="949" ht="15.75" customHeight="1">
      <c r="A949" s="317"/>
      <c r="B949" s="318"/>
      <c r="C949" s="317"/>
      <c r="D949" s="317"/>
      <c r="E949" s="318"/>
      <c r="F949" s="318"/>
      <c r="G949" s="317"/>
      <c r="H949" s="327"/>
      <c r="I949" s="321"/>
      <c r="J949" s="328"/>
      <c r="K949" s="328"/>
      <c r="L949" s="317"/>
      <c r="M949" s="317"/>
      <c r="N949" s="317"/>
      <c r="O949" s="317"/>
      <c r="P949" s="317"/>
      <c r="Q949" s="317"/>
      <c r="R949" s="317"/>
      <c r="S949" s="317"/>
      <c r="T949" s="317"/>
    </row>
    <row r="950" ht="15.75" customHeight="1">
      <c r="A950" s="317"/>
      <c r="B950" s="318"/>
      <c r="C950" s="317"/>
      <c r="D950" s="317"/>
      <c r="E950" s="318"/>
      <c r="F950" s="318"/>
      <c r="G950" s="317"/>
      <c r="H950" s="327"/>
      <c r="I950" s="321"/>
      <c r="J950" s="328"/>
      <c r="K950" s="328"/>
      <c r="L950" s="317"/>
      <c r="M950" s="317"/>
      <c r="N950" s="317"/>
      <c r="O950" s="317"/>
      <c r="P950" s="317"/>
      <c r="Q950" s="317"/>
      <c r="R950" s="317"/>
      <c r="S950" s="317"/>
      <c r="T950" s="317"/>
    </row>
    <row r="951" ht="15.75" customHeight="1">
      <c r="A951" s="317"/>
      <c r="B951" s="318"/>
      <c r="C951" s="317"/>
      <c r="D951" s="317"/>
      <c r="E951" s="318"/>
      <c r="F951" s="318"/>
      <c r="G951" s="317"/>
      <c r="H951" s="327"/>
      <c r="I951" s="321"/>
      <c r="J951" s="328"/>
      <c r="K951" s="328"/>
      <c r="L951" s="317"/>
      <c r="M951" s="317"/>
      <c r="N951" s="317"/>
      <c r="O951" s="317"/>
      <c r="P951" s="317"/>
      <c r="Q951" s="317"/>
      <c r="R951" s="317"/>
      <c r="S951" s="317"/>
      <c r="T951" s="317"/>
    </row>
    <row r="952" ht="15.75" customHeight="1">
      <c r="A952" s="317"/>
      <c r="B952" s="318"/>
      <c r="C952" s="317"/>
      <c r="D952" s="317"/>
      <c r="E952" s="318"/>
      <c r="F952" s="318"/>
      <c r="G952" s="317"/>
      <c r="H952" s="327"/>
      <c r="I952" s="321"/>
      <c r="J952" s="328"/>
      <c r="K952" s="328"/>
      <c r="L952" s="317"/>
      <c r="M952" s="317"/>
      <c r="N952" s="317"/>
      <c r="O952" s="317"/>
      <c r="P952" s="317"/>
      <c r="Q952" s="317"/>
      <c r="R952" s="317"/>
      <c r="S952" s="317"/>
      <c r="T952" s="317"/>
    </row>
    <row r="953" ht="15.75" customHeight="1">
      <c r="A953" s="317"/>
      <c r="B953" s="318"/>
      <c r="C953" s="317"/>
      <c r="D953" s="317"/>
      <c r="E953" s="318"/>
      <c r="F953" s="318"/>
      <c r="G953" s="317"/>
      <c r="H953" s="327"/>
      <c r="I953" s="321"/>
      <c r="J953" s="328"/>
      <c r="K953" s="328"/>
      <c r="L953" s="317"/>
      <c r="M953" s="317"/>
      <c r="N953" s="317"/>
      <c r="O953" s="317"/>
      <c r="P953" s="317"/>
      <c r="Q953" s="317"/>
      <c r="R953" s="317"/>
      <c r="S953" s="317"/>
      <c r="T953" s="317"/>
    </row>
    <row r="954" ht="15.75" customHeight="1">
      <c r="A954" s="317"/>
      <c r="B954" s="318"/>
      <c r="C954" s="317"/>
      <c r="D954" s="317"/>
      <c r="E954" s="318"/>
      <c r="F954" s="318"/>
      <c r="G954" s="317"/>
      <c r="H954" s="327"/>
      <c r="I954" s="321"/>
      <c r="J954" s="328"/>
      <c r="K954" s="328"/>
      <c r="L954" s="317"/>
      <c r="M954" s="317"/>
      <c r="N954" s="317"/>
      <c r="O954" s="317"/>
      <c r="P954" s="317"/>
      <c r="Q954" s="317"/>
      <c r="R954" s="317"/>
      <c r="S954" s="317"/>
      <c r="T954" s="317"/>
    </row>
    <row r="955" ht="15.75" customHeight="1">
      <c r="A955" s="317"/>
      <c r="B955" s="318"/>
      <c r="C955" s="317"/>
      <c r="D955" s="317"/>
      <c r="E955" s="318"/>
      <c r="F955" s="318"/>
      <c r="G955" s="317"/>
      <c r="H955" s="327"/>
      <c r="I955" s="321"/>
      <c r="J955" s="328"/>
      <c r="K955" s="328"/>
      <c r="L955" s="317"/>
      <c r="M955" s="317"/>
      <c r="N955" s="317"/>
      <c r="O955" s="317"/>
      <c r="P955" s="317"/>
      <c r="Q955" s="317"/>
      <c r="R955" s="317"/>
      <c r="S955" s="317"/>
      <c r="T955" s="317"/>
    </row>
    <row r="956" ht="15.75" customHeight="1">
      <c r="A956" s="317"/>
      <c r="B956" s="318"/>
      <c r="C956" s="317"/>
      <c r="D956" s="317"/>
      <c r="E956" s="318"/>
      <c r="F956" s="318"/>
      <c r="G956" s="317"/>
      <c r="H956" s="327"/>
      <c r="I956" s="321"/>
      <c r="J956" s="328"/>
      <c r="K956" s="328"/>
      <c r="L956" s="317"/>
      <c r="M956" s="317"/>
      <c r="N956" s="317"/>
      <c r="O956" s="317"/>
      <c r="P956" s="317"/>
      <c r="Q956" s="317"/>
      <c r="R956" s="317"/>
      <c r="S956" s="317"/>
      <c r="T956" s="317"/>
    </row>
    <row r="957" ht="15.75" customHeight="1">
      <c r="A957" s="317"/>
      <c r="B957" s="318"/>
      <c r="C957" s="317"/>
      <c r="D957" s="317"/>
      <c r="E957" s="318"/>
      <c r="F957" s="318"/>
      <c r="G957" s="317"/>
      <c r="H957" s="327"/>
      <c r="I957" s="321"/>
      <c r="J957" s="328"/>
      <c r="K957" s="328"/>
      <c r="L957" s="317"/>
      <c r="M957" s="317"/>
      <c r="N957" s="317"/>
      <c r="O957" s="317"/>
      <c r="P957" s="317"/>
      <c r="Q957" s="317"/>
      <c r="R957" s="317"/>
      <c r="S957" s="317"/>
      <c r="T957" s="317"/>
    </row>
    <row r="958" ht="15.75" customHeight="1">
      <c r="A958" s="317"/>
      <c r="B958" s="318"/>
      <c r="C958" s="317"/>
      <c r="D958" s="317"/>
      <c r="E958" s="318"/>
      <c r="F958" s="318"/>
      <c r="G958" s="317"/>
      <c r="H958" s="327"/>
      <c r="I958" s="321"/>
      <c r="J958" s="328"/>
      <c r="K958" s="328"/>
      <c r="L958" s="317"/>
      <c r="M958" s="317"/>
      <c r="N958" s="317"/>
      <c r="O958" s="317"/>
      <c r="P958" s="317"/>
      <c r="Q958" s="317"/>
      <c r="R958" s="317"/>
      <c r="S958" s="317"/>
      <c r="T958" s="317"/>
    </row>
    <row r="959" ht="15.75" customHeight="1">
      <c r="A959" s="317"/>
      <c r="B959" s="318"/>
      <c r="C959" s="317"/>
      <c r="D959" s="317"/>
      <c r="E959" s="318"/>
      <c r="F959" s="318"/>
      <c r="G959" s="317"/>
      <c r="H959" s="327"/>
      <c r="I959" s="321"/>
      <c r="J959" s="328"/>
      <c r="K959" s="328"/>
      <c r="L959" s="317"/>
      <c r="M959" s="317"/>
      <c r="N959" s="317"/>
      <c r="O959" s="317"/>
      <c r="P959" s="317"/>
      <c r="Q959" s="317"/>
      <c r="R959" s="317"/>
      <c r="S959" s="317"/>
      <c r="T959" s="317"/>
    </row>
    <row r="960" ht="15.75" customHeight="1">
      <c r="A960" s="317"/>
      <c r="B960" s="318"/>
      <c r="C960" s="317"/>
      <c r="D960" s="317"/>
      <c r="E960" s="318"/>
      <c r="F960" s="318"/>
      <c r="G960" s="317"/>
      <c r="H960" s="327"/>
      <c r="I960" s="321"/>
      <c r="J960" s="328"/>
      <c r="K960" s="328"/>
      <c r="L960" s="317"/>
      <c r="M960" s="317"/>
      <c r="N960" s="317"/>
      <c r="O960" s="317"/>
      <c r="P960" s="317"/>
      <c r="Q960" s="317"/>
      <c r="R960" s="317"/>
      <c r="S960" s="317"/>
      <c r="T960" s="317"/>
    </row>
    <row r="961" ht="15.75" customHeight="1">
      <c r="A961" s="317"/>
      <c r="B961" s="318"/>
      <c r="C961" s="317"/>
      <c r="D961" s="317"/>
      <c r="E961" s="318"/>
      <c r="F961" s="318"/>
      <c r="G961" s="317"/>
      <c r="H961" s="327"/>
      <c r="I961" s="321"/>
      <c r="J961" s="328"/>
      <c r="K961" s="328"/>
      <c r="L961" s="317"/>
      <c r="M961" s="317"/>
      <c r="N961" s="317"/>
      <c r="O961" s="317"/>
      <c r="P961" s="317"/>
      <c r="Q961" s="317"/>
      <c r="R961" s="317"/>
      <c r="S961" s="317"/>
      <c r="T961" s="317"/>
    </row>
    <row r="962" ht="15.75" customHeight="1">
      <c r="A962" s="317"/>
      <c r="B962" s="318"/>
      <c r="C962" s="317"/>
      <c r="D962" s="317"/>
      <c r="E962" s="318"/>
      <c r="F962" s="318"/>
      <c r="G962" s="317"/>
      <c r="H962" s="327"/>
      <c r="I962" s="321"/>
      <c r="J962" s="328"/>
      <c r="K962" s="328"/>
      <c r="L962" s="317"/>
      <c r="M962" s="317"/>
      <c r="N962" s="317"/>
      <c r="O962" s="317"/>
      <c r="P962" s="317"/>
      <c r="Q962" s="317"/>
      <c r="R962" s="317"/>
      <c r="S962" s="317"/>
      <c r="T962" s="317"/>
    </row>
    <row r="963" ht="15.75" customHeight="1">
      <c r="A963" s="317"/>
      <c r="B963" s="318"/>
      <c r="C963" s="317"/>
      <c r="D963" s="317"/>
      <c r="E963" s="318"/>
      <c r="F963" s="318"/>
      <c r="G963" s="317"/>
      <c r="H963" s="327"/>
      <c r="I963" s="321"/>
      <c r="J963" s="328"/>
      <c r="K963" s="328"/>
      <c r="L963" s="317"/>
      <c r="M963" s="317"/>
      <c r="N963" s="317"/>
      <c r="O963" s="317"/>
      <c r="P963" s="317"/>
      <c r="Q963" s="317"/>
      <c r="R963" s="317"/>
      <c r="S963" s="317"/>
      <c r="T963" s="317"/>
    </row>
    <row r="964" ht="15.75" customHeight="1">
      <c r="A964" s="317"/>
      <c r="B964" s="318"/>
      <c r="C964" s="317"/>
      <c r="D964" s="317"/>
      <c r="E964" s="318"/>
      <c r="F964" s="318"/>
      <c r="G964" s="317"/>
      <c r="H964" s="327"/>
      <c r="I964" s="321"/>
      <c r="J964" s="328"/>
      <c r="K964" s="328"/>
      <c r="L964" s="317"/>
      <c r="M964" s="317"/>
      <c r="N964" s="317"/>
      <c r="O964" s="317"/>
      <c r="P964" s="317"/>
      <c r="Q964" s="317"/>
      <c r="R964" s="317"/>
      <c r="S964" s="317"/>
      <c r="T964" s="317"/>
    </row>
    <row r="965" ht="15.75" customHeight="1">
      <c r="A965" s="317"/>
      <c r="B965" s="318"/>
      <c r="C965" s="317"/>
      <c r="D965" s="317"/>
      <c r="E965" s="318"/>
      <c r="F965" s="318"/>
      <c r="G965" s="317"/>
      <c r="H965" s="327"/>
      <c r="I965" s="321"/>
      <c r="J965" s="328"/>
      <c r="K965" s="328"/>
      <c r="L965" s="317"/>
      <c r="M965" s="317"/>
      <c r="N965" s="317"/>
      <c r="O965" s="317"/>
      <c r="P965" s="317"/>
      <c r="Q965" s="317"/>
      <c r="R965" s="317"/>
      <c r="S965" s="317"/>
      <c r="T965" s="317"/>
    </row>
    <row r="966" ht="15.75" customHeight="1">
      <c r="A966" s="317"/>
      <c r="B966" s="318"/>
      <c r="C966" s="317"/>
      <c r="D966" s="317"/>
      <c r="E966" s="318"/>
      <c r="F966" s="318"/>
      <c r="G966" s="317"/>
      <c r="H966" s="327"/>
      <c r="I966" s="321"/>
      <c r="J966" s="328"/>
      <c r="K966" s="328"/>
      <c r="L966" s="317"/>
      <c r="M966" s="317"/>
      <c r="N966" s="317"/>
      <c r="O966" s="317"/>
      <c r="P966" s="317"/>
      <c r="Q966" s="317"/>
      <c r="R966" s="317"/>
      <c r="S966" s="317"/>
      <c r="T966" s="317"/>
    </row>
    <row r="967" ht="15.75" customHeight="1">
      <c r="A967" s="317"/>
      <c r="B967" s="318"/>
      <c r="C967" s="317"/>
      <c r="D967" s="317"/>
      <c r="E967" s="318"/>
      <c r="F967" s="318"/>
      <c r="G967" s="317"/>
      <c r="H967" s="327"/>
      <c r="I967" s="321"/>
      <c r="J967" s="328"/>
      <c r="K967" s="328"/>
      <c r="L967" s="317"/>
      <c r="M967" s="317"/>
      <c r="N967" s="317"/>
      <c r="O967" s="317"/>
      <c r="P967" s="317"/>
      <c r="Q967" s="317"/>
      <c r="R967" s="317"/>
      <c r="S967" s="317"/>
      <c r="T967" s="317"/>
    </row>
    <row r="968" ht="15.75" customHeight="1">
      <c r="A968" s="317"/>
      <c r="B968" s="318"/>
      <c r="C968" s="317"/>
      <c r="D968" s="317"/>
      <c r="E968" s="318"/>
      <c r="F968" s="318"/>
      <c r="G968" s="317"/>
      <c r="H968" s="327"/>
      <c r="I968" s="321"/>
      <c r="J968" s="328"/>
      <c r="K968" s="328"/>
      <c r="L968" s="317"/>
      <c r="M968" s="317"/>
      <c r="N968" s="317"/>
      <c r="O968" s="317"/>
      <c r="P968" s="317"/>
      <c r="Q968" s="317"/>
      <c r="R968" s="317"/>
      <c r="S968" s="317"/>
      <c r="T968" s="317"/>
    </row>
    <row r="969" ht="15.75" customHeight="1">
      <c r="A969" s="317"/>
      <c r="B969" s="318"/>
      <c r="C969" s="317"/>
      <c r="D969" s="317"/>
      <c r="E969" s="318"/>
      <c r="F969" s="318"/>
      <c r="G969" s="317"/>
      <c r="H969" s="327"/>
      <c r="I969" s="321"/>
      <c r="J969" s="328"/>
      <c r="K969" s="328"/>
      <c r="L969" s="317"/>
      <c r="M969" s="317"/>
      <c r="N969" s="317"/>
      <c r="O969" s="317"/>
      <c r="P969" s="317"/>
      <c r="Q969" s="317"/>
      <c r="R969" s="317"/>
      <c r="S969" s="317"/>
      <c r="T969" s="317"/>
    </row>
    <row r="970" ht="15.75" customHeight="1">
      <c r="A970" s="317"/>
      <c r="B970" s="318"/>
      <c r="C970" s="317"/>
      <c r="D970" s="317"/>
      <c r="E970" s="318"/>
      <c r="F970" s="318"/>
      <c r="G970" s="317"/>
      <c r="H970" s="327"/>
      <c r="I970" s="321"/>
      <c r="J970" s="328"/>
      <c r="K970" s="328"/>
      <c r="L970" s="317"/>
      <c r="M970" s="317"/>
      <c r="N970" s="317"/>
      <c r="O970" s="317"/>
      <c r="P970" s="317"/>
      <c r="Q970" s="317"/>
      <c r="R970" s="317"/>
      <c r="S970" s="317"/>
      <c r="T970" s="317"/>
    </row>
    <row r="971" ht="15.75" customHeight="1">
      <c r="A971" s="317"/>
      <c r="B971" s="318"/>
      <c r="C971" s="317"/>
      <c r="D971" s="317"/>
      <c r="E971" s="318"/>
      <c r="F971" s="318"/>
      <c r="G971" s="317"/>
      <c r="H971" s="327"/>
      <c r="I971" s="321"/>
      <c r="J971" s="328"/>
      <c r="K971" s="328"/>
      <c r="L971" s="317"/>
      <c r="M971" s="317"/>
      <c r="N971" s="317"/>
      <c r="O971" s="317"/>
      <c r="P971" s="317"/>
      <c r="Q971" s="317"/>
      <c r="R971" s="317"/>
      <c r="S971" s="317"/>
      <c r="T971" s="317"/>
    </row>
    <row r="972" ht="15.75" customHeight="1">
      <c r="A972" s="317"/>
      <c r="B972" s="318"/>
      <c r="C972" s="317"/>
      <c r="D972" s="317"/>
      <c r="E972" s="318"/>
      <c r="F972" s="318"/>
      <c r="G972" s="317"/>
      <c r="H972" s="327"/>
      <c r="I972" s="321"/>
      <c r="J972" s="328"/>
      <c r="K972" s="328"/>
      <c r="L972" s="317"/>
      <c r="M972" s="317"/>
      <c r="N972" s="317"/>
      <c r="O972" s="317"/>
      <c r="P972" s="317"/>
      <c r="Q972" s="317"/>
      <c r="R972" s="317"/>
      <c r="S972" s="317"/>
      <c r="T972" s="317"/>
    </row>
    <row r="973" ht="15.75" customHeight="1">
      <c r="A973" s="317"/>
      <c r="B973" s="318"/>
      <c r="C973" s="317"/>
      <c r="D973" s="317"/>
      <c r="E973" s="318"/>
      <c r="F973" s="318"/>
      <c r="G973" s="317"/>
      <c r="H973" s="327"/>
      <c r="I973" s="321"/>
      <c r="J973" s="328"/>
      <c r="K973" s="328"/>
      <c r="L973" s="317"/>
      <c r="M973" s="317"/>
      <c r="N973" s="317"/>
      <c r="O973" s="317"/>
      <c r="P973" s="317"/>
      <c r="Q973" s="317"/>
      <c r="R973" s="317"/>
      <c r="S973" s="317"/>
      <c r="T973" s="317"/>
    </row>
    <row r="974" ht="15.75" customHeight="1">
      <c r="A974" s="317"/>
      <c r="B974" s="318"/>
      <c r="C974" s="317"/>
      <c r="D974" s="317"/>
      <c r="E974" s="318"/>
      <c r="F974" s="318"/>
      <c r="G974" s="317"/>
      <c r="H974" s="327"/>
      <c r="I974" s="321"/>
      <c r="J974" s="328"/>
      <c r="K974" s="328"/>
      <c r="L974" s="317"/>
      <c r="M974" s="317"/>
      <c r="N974" s="317"/>
      <c r="O974" s="317"/>
      <c r="P974" s="317"/>
      <c r="Q974" s="317"/>
      <c r="R974" s="317"/>
      <c r="S974" s="317"/>
      <c r="T974" s="317"/>
    </row>
    <row r="975" ht="15.75" customHeight="1">
      <c r="A975" s="317"/>
      <c r="B975" s="318"/>
      <c r="C975" s="317"/>
      <c r="D975" s="317"/>
      <c r="E975" s="318"/>
      <c r="F975" s="318"/>
      <c r="G975" s="317"/>
      <c r="H975" s="327"/>
      <c r="I975" s="321"/>
      <c r="J975" s="328"/>
      <c r="K975" s="328"/>
      <c r="L975" s="317"/>
      <c r="M975" s="317"/>
      <c r="N975" s="317"/>
      <c r="O975" s="317"/>
      <c r="P975" s="317"/>
      <c r="Q975" s="317"/>
      <c r="R975" s="317"/>
      <c r="S975" s="317"/>
      <c r="T975" s="317"/>
    </row>
    <row r="976" ht="15.75" customHeight="1">
      <c r="A976" s="317"/>
      <c r="B976" s="318"/>
      <c r="C976" s="317"/>
      <c r="D976" s="317"/>
      <c r="E976" s="318"/>
      <c r="F976" s="318"/>
      <c r="G976" s="317"/>
      <c r="H976" s="327"/>
      <c r="I976" s="321"/>
      <c r="J976" s="328"/>
      <c r="K976" s="328"/>
      <c r="L976" s="317"/>
      <c r="M976" s="317"/>
      <c r="N976" s="317"/>
      <c r="O976" s="317"/>
      <c r="P976" s="317"/>
      <c r="Q976" s="317"/>
      <c r="R976" s="317"/>
      <c r="S976" s="317"/>
      <c r="T976" s="317"/>
    </row>
    <row r="977" ht="15.75" customHeight="1">
      <c r="A977" s="317"/>
      <c r="B977" s="318"/>
      <c r="C977" s="317"/>
      <c r="D977" s="317"/>
      <c r="E977" s="318"/>
      <c r="F977" s="318"/>
      <c r="G977" s="317"/>
      <c r="H977" s="327"/>
      <c r="I977" s="321"/>
      <c r="J977" s="328"/>
      <c r="K977" s="328"/>
      <c r="L977" s="317"/>
      <c r="M977" s="317"/>
      <c r="N977" s="317"/>
      <c r="O977" s="317"/>
      <c r="P977" s="317"/>
      <c r="Q977" s="317"/>
      <c r="R977" s="317"/>
      <c r="S977" s="317"/>
      <c r="T977" s="317"/>
    </row>
    <row r="978" ht="15.75" customHeight="1">
      <c r="A978" s="317"/>
      <c r="B978" s="318"/>
      <c r="C978" s="317"/>
      <c r="D978" s="317"/>
      <c r="E978" s="318"/>
      <c r="F978" s="318"/>
      <c r="G978" s="317"/>
      <c r="H978" s="327"/>
      <c r="I978" s="321"/>
      <c r="J978" s="328"/>
      <c r="K978" s="328"/>
      <c r="L978" s="317"/>
      <c r="M978" s="317"/>
      <c r="N978" s="317"/>
      <c r="O978" s="317"/>
      <c r="P978" s="317"/>
      <c r="Q978" s="317"/>
      <c r="R978" s="317"/>
      <c r="S978" s="317"/>
      <c r="T978" s="317"/>
    </row>
    <row r="979" ht="15.75" customHeight="1">
      <c r="A979" s="317"/>
      <c r="B979" s="318"/>
      <c r="C979" s="317"/>
      <c r="D979" s="317"/>
      <c r="E979" s="318"/>
      <c r="F979" s="318"/>
      <c r="G979" s="317"/>
      <c r="H979" s="327"/>
      <c r="I979" s="321"/>
      <c r="J979" s="328"/>
      <c r="K979" s="328"/>
      <c r="L979" s="317"/>
      <c r="M979" s="317"/>
      <c r="N979" s="317"/>
      <c r="O979" s="317"/>
      <c r="P979" s="317"/>
      <c r="Q979" s="317"/>
      <c r="R979" s="317"/>
      <c r="S979" s="317"/>
      <c r="T979" s="317"/>
    </row>
    <row r="980" ht="15.75" customHeight="1">
      <c r="A980" s="317"/>
      <c r="B980" s="318"/>
      <c r="C980" s="317"/>
      <c r="D980" s="317"/>
      <c r="E980" s="318"/>
      <c r="F980" s="318"/>
      <c r="G980" s="317"/>
      <c r="H980" s="327"/>
      <c r="I980" s="321"/>
      <c r="J980" s="328"/>
      <c r="K980" s="328"/>
      <c r="L980" s="317"/>
      <c r="M980" s="317"/>
      <c r="N980" s="317"/>
      <c r="O980" s="317"/>
      <c r="P980" s="317"/>
      <c r="Q980" s="317"/>
      <c r="R980" s="317"/>
      <c r="S980" s="317"/>
      <c r="T980" s="317"/>
    </row>
    <row r="981" ht="15.75" customHeight="1">
      <c r="A981" s="317"/>
      <c r="B981" s="318"/>
      <c r="C981" s="317"/>
      <c r="D981" s="317"/>
      <c r="E981" s="318"/>
      <c r="F981" s="318"/>
      <c r="G981" s="317"/>
      <c r="H981" s="327"/>
      <c r="I981" s="321"/>
      <c r="J981" s="328"/>
      <c r="K981" s="328"/>
      <c r="L981" s="317"/>
      <c r="M981" s="317"/>
      <c r="N981" s="317"/>
      <c r="O981" s="317"/>
      <c r="P981" s="317"/>
      <c r="Q981" s="317"/>
      <c r="R981" s="317"/>
      <c r="S981" s="317"/>
      <c r="T981" s="317"/>
    </row>
    <row r="982" ht="15.75" customHeight="1">
      <c r="A982" s="317"/>
      <c r="B982" s="318"/>
      <c r="C982" s="317"/>
      <c r="D982" s="317"/>
      <c r="E982" s="318"/>
      <c r="F982" s="318"/>
      <c r="G982" s="317"/>
      <c r="H982" s="327"/>
      <c r="I982" s="321"/>
      <c r="J982" s="328"/>
      <c r="K982" s="328"/>
      <c r="L982" s="317"/>
      <c r="M982" s="317"/>
      <c r="N982" s="317"/>
      <c r="O982" s="317"/>
      <c r="P982" s="317"/>
      <c r="Q982" s="317"/>
      <c r="R982" s="317"/>
      <c r="S982" s="317"/>
      <c r="T982" s="317"/>
    </row>
    <row r="983" ht="15.75" customHeight="1">
      <c r="A983" s="317"/>
      <c r="B983" s="318"/>
      <c r="C983" s="317"/>
      <c r="D983" s="317"/>
      <c r="E983" s="318"/>
      <c r="F983" s="318"/>
      <c r="G983" s="317"/>
      <c r="H983" s="327"/>
      <c r="I983" s="321"/>
      <c r="J983" s="328"/>
      <c r="K983" s="328"/>
      <c r="L983" s="317"/>
      <c r="M983" s="317"/>
      <c r="N983" s="317"/>
      <c r="O983" s="317"/>
      <c r="P983" s="317"/>
      <c r="Q983" s="317"/>
      <c r="R983" s="317"/>
      <c r="S983" s="317"/>
      <c r="T983" s="317"/>
    </row>
    <row r="984" ht="15.75" customHeight="1">
      <c r="A984" s="317"/>
      <c r="B984" s="318"/>
      <c r="C984" s="317"/>
      <c r="D984" s="317"/>
      <c r="E984" s="318"/>
      <c r="F984" s="318"/>
      <c r="G984" s="317"/>
      <c r="H984" s="327"/>
      <c r="I984" s="321"/>
      <c r="J984" s="328"/>
      <c r="K984" s="328"/>
      <c r="L984" s="317"/>
      <c r="M984" s="317"/>
      <c r="N984" s="317"/>
      <c r="O984" s="317"/>
      <c r="P984" s="317"/>
      <c r="Q984" s="317"/>
      <c r="R984" s="317"/>
      <c r="S984" s="317"/>
      <c r="T984" s="317"/>
    </row>
    <row r="985" ht="15.75" customHeight="1">
      <c r="A985" s="317"/>
      <c r="B985" s="318"/>
      <c r="C985" s="317"/>
      <c r="D985" s="317"/>
      <c r="E985" s="318"/>
      <c r="F985" s="318"/>
      <c r="G985" s="317"/>
      <c r="H985" s="327"/>
      <c r="I985" s="321"/>
      <c r="J985" s="328"/>
      <c r="K985" s="328"/>
      <c r="L985" s="317"/>
      <c r="M985" s="317"/>
      <c r="N985" s="317"/>
      <c r="O985" s="317"/>
      <c r="P985" s="317"/>
      <c r="Q985" s="317"/>
      <c r="R985" s="317"/>
      <c r="S985" s="317"/>
      <c r="T985" s="317"/>
    </row>
    <row r="986" ht="15.75" customHeight="1">
      <c r="A986" s="317"/>
      <c r="B986" s="318"/>
      <c r="C986" s="317"/>
      <c r="D986" s="317"/>
      <c r="E986" s="318"/>
      <c r="F986" s="318"/>
      <c r="G986" s="317"/>
      <c r="H986" s="327"/>
      <c r="I986" s="321"/>
      <c r="J986" s="328"/>
      <c r="K986" s="328"/>
      <c r="L986" s="317"/>
      <c r="M986" s="317"/>
      <c r="N986" s="317"/>
      <c r="O986" s="317"/>
      <c r="P986" s="317"/>
      <c r="Q986" s="317"/>
      <c r="R986" s="317"/>
      <c r="S986" s="317"/>
      <c r="T986" s="317"/>
    </row>
    <row r="987" ht="15.75" customHeight="1">
      <c r="A987" s="317"/>
      <c r="B987" s="318"/>
      <c r="C987" s="317"/>
      <c r="D987" s="317"/>
      <c r="E987" s="318"/>
      <c r="F987" s="318"/>
      <c r="G987" s="317"/>
      <c r="H987" s="327"/>
      <c r="I987" s="321"/>
      <c r="J987" s="328"/>
      <c r="K987" s="328"/>
      <c r="L987" s="317"/>
      <c r="M987" s="317"/>
      <c r="N987" s="317"/>
      <c r="O987" s="317"/>
      <c r="P987" s="317"/>
      <c r="Q987" s="317"/>
      <c r="R987" s="317"/>
      <c r="S987" s="317"/>
      <c r="T987" s="317"/>
    </row>
    <row r="988" ht="15.75" customHeight="1">
      <c r="A988" s="317"/>
      <c r="B988" s="318"/>
      <c r="C988" s="317"/>
      <c r="D988" s="317"/>
      <c r="E988" s="318"/>
      <c r="F988" s="318"/>
      <c r="G988" s="317"/>
      <c r="H988" s="327"/>
      <c r="I988" s="321"/>
      <c r="J988" s="328"/>
      <c r="K988" s="328"/>
      <c r="L988" s="317"/>
      <c r="M988" s="317"/>
      <c r="N988" s="317"/>
      <c r="O988" s="317"/>
      <c r="P988" s="317"/>
      <c r="Q988" s="317"/>
      <c r="R988" s="317"/>
      <c r="S988" s="317"/>
      <c r="T988" s="317"/>
    </row>
  </sheetData>
  <autoFilter ref="$A$1:$T$140">
    <filterColumn colId="6">
      <filters>
        <filter val="leyson37@gmail.com"/>
        <filter val="n/a"/>
        <filter val="jayson12mendoza15@gmail.com"/>
        <filter val="lacselle08@gmail.com"/>
        <filter val="lparanpan@yahoo.com"/>
        <filter val="e43eee3esdwafcfvfcffvgvgrdcrxseexttfddfddz;;p-p-p="/>
        <filter val="rjjavellana67@yahoo.com"/>
        <filter val="jmfilmsproduction2014@gmail.com"/>
        <filter val="dgcaramat12@gmail.com"/>
        <filter val="lleodimamay.ifilneur@gmail.com"/>
        <filter val="maricelhoy@yahoo.com"/>
        <filter val="kemonel2015@gmail.com"/>
        <filter val="barvillaj@gmail.com"/>
        <filter val="preciousfematorres@gmail.com"/>
        <filter val="limsiacomichael@yahoo.com"/>
        <filter val="bonnyapparelinc@gmail.com"/>
        <filter val="mona_beck2001@yahoo.com"/>
        <filter val="robkar9@yahoo.com.ph"/>
        <filter val="rubyarroyo70@yahoo.com"/>
        <filter val="jeanne.ferrer75@gmail.com"/>
        <filter val="n_pison@yahoo.com"/>
        <filter val="ruthserrato@yahoo.com"/>
        <filter val="joansalmeoreyes@gmail.com"/>
        <filter val="ibrahimmaricar@outlook.com"/>
        <filter val="cynthiamansueto@yahoo.com.ph"/>
        <filter val="anjo.diansay47@gmail.com"/>
        <filter val="jadgeronca@gmail.com"/>
        <filter val="vangie_257@yahoo.com"/>
        <filter val="rentwithus.abc@gmail.com"/>
        <filter val="noahmontenegro@optimum.net"/>
        <filter val="bdelrosario1014@gmail.com"/>
        <filter val="cant0910@yahoo.com"/>
        <filter val="Lourdes.carney@gmail.com"/>
        <filter val="graceuybico@gmail.com"/>
        <filter val="cltpo@icloud.com"/>
        <filter val="amylapating@yahoo.com"/>
        <filter val="irene.lachica@yahoo.com"/>
        <filter val="irishdeysolong523@gmail.com"/>
        <filter val="raytrenas@gmail.com"/>
        <filter val="mariespinosa3185@gmail.com"/>
        <filter val="rosslim07@gmail.com"/>
        <filter val="Hyacinth.9@hotmail.com"/>
        <filter val="jadebibiano@gmail.com"/>
        <filter val="gaudelfin23@gmail.com"/>
        <filter val="Ceee_m@yahoo.com"/>
        <filter val="lilanieyoung@gmail.com"/>
        <filter val="swedenwu07@gmail.com"/>
        <filter val="juradadanmark8888@gmail.com"/>
        <filter val="Esjoyp@aol.com"/>
        <filter val="chavillareal2017@gmail.com"/>
        <filter val="emilybelicena@gmail.com"/>
        <filter val="enitsenrevalle@gmail.com"/>
        <filter val="janettejarabata84@gmail.com"/>
        <filter val="christineladigohon@gmail.com"/>
        <filter val="millicent.sy.tiu@gmail.com"/>
        <filter val="Ritaj241@yahoo.com"/>
        <filter val="jancupidmusa@gmail.com"/>
        <filter val="Elvie.dofitas08@gmail.com"/>
        <filter val="rodel5alimpoyo@yahoo.com.ph"/>
        <filter val="villanueva_ira@yahoo.com"/>
        <filter val="tan_albert71@yahoo.com"/>
        <filter val="Aaronsales.j@gmail.com"/>
        <filter val="asandoy82@gmail.com / geneselat@gmail.com"/>
        <filter val="genalynpdagum@gmail.com"/>
        <filter val="ristyd@yahoo.com"/>
        <filter val="Btls@gmail.com"/>
        <filter val="ibrahim.maricar@outlook.com"/>
        <filter val="juzzy.magno@yahoo.com"/>
        <filter val="gutierrezdevelopment@gmail.com"/>
        <filter val="docangie.thesmileologists@gmail.com"/>
        <filter val="hjameprestosa@yahoo.com"/>
        <filter val="goldameirchua@gycmarketingopc.com"/>
        <filter val="joeviecatalan2017@gmail.com,&#10;chonavillaruz@gmail.com"/>
        <filter val="arlandbarvilla@gmail.com"/>
        <filter val="bonnyapparelinc@gmail.com&#10;chalan0916@gmail.com"/>
        <filter val="svghbatch7@gmail.com"/>
        <filter val="rosaldesmizzy@gmail.com"/>
        <filter val="dimple_email2@yahoo.com"/>
        <filter val="shacabial@gmail.com"/>
        <filter val="sirlabsclassroom@gmail.com"/>
        <filter val="airbnbaccou@gmail.com"/>
        <filter val="subong_rhea@yahoo.com"/>
        <filter val="euniel.md@gmail.com"/>
        <filter val="kixmd@yahoo.com"/>
        <filter val="joseroyhipolito71@gmail.com"/>
        <filter val="cornerhome99@gmail.com"/>
      </filters>
    </filterColumn>
    <sortState ref="A1:T140">
      <sortCondition ref="A1:A140"/>
      <sortCondition ref="G1:G140"/>
      <sortCondition ref="D1:D140"/>
    </sortState>
  </autoFilter>
  <conditionalFormatting sqref="A2:T486">
    <cfRule type="expression" dxfId="29" priority="1">
      <formula>$C2="INACTIVE"</formula>
    </cfRule>
  </conditionalFormatting>
  <conditionalFormatting sqref="K2:K486">
    <cfRule type="cellIs" dxfId="4" priority="2" operator="equal">
      <formula>"MISSING"</formula>
    </cfRule>
  </conditionalFormatting>
  <conditionalFormatting sqref="L2:L486">
    <cfRule type="cellIs" dxfId="6" priority="3" operator="equal">
      <formula>"IN PROGRESS"</formula>
    </cfRule>
  </conditionalFormatting>
  <conditionalFormatting sqref="L2:L486">
    <cfRule type="cellIs" dxfId="7" priority="4" operator="equal">
      <formula>"?"</formula>
    </cfRule>
  </conditionalFormatting>
  <conditionalFormatting sqref="L2:L486">
    <cfRule type="cellIs" dxfId="30" priority="5" operator="equal">
      <formula>"EXPIRED"</formula>
    </cfRule>
  </conditionalFormatting>
  <conditionalFormatting sqref="L2:L486">
    <cfRule type="cellIs" dxfId="31" priority="6" operator="greaterThan">
      <formula>90</formula>
    </cfRule>
  </conditionalFormatting>
  <conditionalFormatting sqref="L2:L486">
    <cfRule type="cellIs" dxfId="10" priority="7" operator="lessThanOrEqual">
      <formula>30</formula>
    </cfRule>
  </conditionalFormatting>
  <conditionalFormatting sqref="L2:L486">
    <cfRule type="colorScale" priority="8">
      <colorScale>
        <cfvo type="formula" val="30"/>
        <cfvo type="formula" val="60"/>
        <cfvo type="formula" val="90"/>
        <color rgb="FFE06666"/>
        <color rgb="FFFFE599"/>
        <color rgb="FF57BB8A"/>
      </colorScale>
    </cfRule>
  </conditionalFormatting>
  <conditionalFormatting sqref="M2:M486">
    <cfRule type="notContainsBlanks" dxfId="32" priority="9">
      <formula>LEN(TRIM(M2))&gt;0</formula>
    </cfRule>
  </conditionalFormatting>
  <conditionalFormatting sqref="B2:B486">
    <cfRule type="expression" dxfId="33" priority="10">
      <formula>C2=""</formula>
    </cfRule>
  </conditionalFormatting>
  <conditionalFormatting sqref="B2:B486">
    <cfRule type="expression" dxfId="34" priority="11">
      <formula>M2=""</formula>
    </cfRule>
  </conditionalFormatting>
  <conditionalFormatting sqref="I2:I988">
    <cfRule type="notContainsBlanks" dxfId="35" priority="12">
      <formula>LEN(TRIM(I2))&gt;0</formula>
    </cfRule>
  </conditionalFormatting>
  <conditionalFormatting sqref="N2:P486">
    <cfRule type="notContainsBlanks" dxfId="36" priority="13">
      <formula>LEN(TRIM(N2))&gt;0</formula>
    </cfRule>
  </conditionalFormatting>
  <dataValidations>
    <dataValidation type="list" allowBlank="1" showErrorMessage="1" sqref="D2:D486">
      <formula1>"VIBER,MESSENGER,NOT YET,FIXED,N/A"</formula1>
    </dataValidation>
    <dataValidation type="list" allowBlank="1" showErrorMessage="1" sqref="C2:C486">
      <formula1>"ACTIVE,INACTIVE,FOR RENEWAL,IN PROGRESS"</formula1>
    </dataValidation>
    <dataValidation type="list" allowBlank="1" sqref="E2:E486">
      <formula1>"Studio,1-Bedroom,2-Bedroom,Executive Studio"</formula1>
    </dataValidation>
    <dataValidation type="list" allowBlank="1" sqref="I2:I486">
      <formula1>"Fixed,Partnership,85/15 Partner,75/25 Partner"</formula1>
    </dataValidation>
    <dataValidation type="list" allowBlank="1" showErrorMessage="1" sqref="A2:A486">
      <formula1>"Avida Storeys 1,Avida Storeys 2,Avida Tower 1,Avida Tower 2,Avida Tower 3,Avida Tower 4,Bernwood Tower,Lafayette,One Madison,One Spatial,People's Hotel,Saint Dominique,Saint Honore,SMDC,The Palladium,WV Towers"</formula1>
    </dataValidation>
  </dataValidations>
  <hyperlinks>
    <hyperlink r:id="rId2" ref="N2"/>
    <hyperlink r:id="rId3" ref="O2"/>
    <hyperlink r:id="rId4" ref="P2"/>
    <hyperlink r:id="rId5" ref="N3"/>
    <hyperlink r:id="rId6" ref="O3"/>
    <hyperlink r:id="rId7" ref="P3"/>
    <hyperlink r:id="rId8" ref="N5"/>
    <hyperlink r:id="rId9" ref="O5"/>
    <hyperlink r:id="rId10" ref="P5"/>
    <hyperlink r:id="rId11" ref="N6"/>
    <hyperlink r:id="rId12" ref="O6"/>
    <hyperlink r:id="rId13" ref="N7"/>
    <hyperlink r:id="rId14" ref="O7"/>
    <hyperlink r:id="rId15" ref="P7"/>
    <hyperlink r:id="rId16" ref="M8"/>
    <hyperlink r:id="rId17" ref="N8"/>
    <hyperlink r:id="rId18" ref="O8"/>
    <hyperlink r:id="rId19" ref="P8"/>
    <hyperlink r:id="rId20" ref="N9"/>
    <hyperlink r:id="rId21" ref="O9"/>
    <hyperlink r:id="rId22" ref="P9"/>
    <hyperlink r:id="rId23" ref="N10"/>
    <hyperlink r:id="rId24" ref="O10"/>
    <hyperlink r:id="rId25" ref="M11"/>
    <hyperlink r:id="rId26" ref="N11"/>
    <hyperlink r:id="rId27" ref="O11"/>
    <hyperlink r:id="rId28" ref="P11"/>
    <hyperlink r:id="rId29" ref="N12"/>
    <hyperlink r:id="rId30" ref="O12"/>
    <hyperlink r:id="rId31" ref="P12"/>
    <hyperlink r:id="rId32" ref="N13"/>
    <hyperlink r:id="rId33" ref="O13"/>
    <hyperlink r:id="rId34" ref="P13"/>
    <hyperlink r:id="rId35" ref="M14"/>
    <hyperlink r:id="rId36" ref="N14"/>
    <hyperlink r:id="rId37" ref="O14"/>
    <hyperlink r:id="rId38" ref="P14"/>
    <hyperlink r:id="rId39" ref="N15"/>
    <hyperlink r:id="rId40" ref="O15"/>
    <hyperlink r:id="rId41" ref="P15"/>
    <hyperlink r:id="rId42" ref="M17"/>
    <hyperlink r:id="rId43" ref="N17"/>
    <hyperlink r:id="rId44" ref="O17"/>
    <hyperlink r:id="rId45" ref="P17"/>
    <hyperlink r:id="rId46" ref="N18"/>
    <hyperlink r:id="rId47" ref="O18"/>
    <hyperlink r:id="rId48" ref="P18"/>
    <hyperlink r:id="rId49" ref="N19"/>
    <hyperlink r:id="rId50" ref="O19"/>
    <hyperlink r:id="rId51" ref="N20"/>
    <hyperlink r:id="rId52" ref="O20"/>
    <hyperlink r:id="rId53" ref="P20"/>
    <hyperlink r:id="rId54" ref="N21"/>
    <hyperlink r:id="rId55" ref="O21"/>
    <hyperlink r:id="rId56" ref="P21"/>
    <hyperlink r:id="rId57" ref="N22"/>
    <hyperlink r:id="rId58" ref="O22"/>
    <hyperlink r:id="rId59" ref="N23"/>
    <hyperlink r:id="rId60" ref="O23"/>
    <hyperlink r:id="rId61" ref="P23"/>
    <hyperlink r:id="rId62" ref="N24"/>
    <hyperlink r:id="rId63" ref="O24"/>
    <hyperlink r:id="rId64" ref="P24"/>
    <hyperlink r:id="rId65" ref="N25"/>
    <hyperlink r:id="rId66" ref="O25"/>
    <hyperlink r:id="rId67" ref="P25"/>
    <hyperlink r:id="rId68" ref="N26"/>
    <hyperlink r:id="rId69" ref="O26"/>
    <hyperlink r:id="rId70" ref="N27"/>
    <hyperlink r:id="rId71" ref="O27"/>
    <hyperlink r:id="rId72" ref="P27"/>
    <hyperlink r:id="rId73" ref="N28"/>
    <hyperlink r:id="rId74" ref="O28"/>
    <hyperlink r:id="rId75" ref="P28"/>
    <hyperlink r:id="rId76" ref="N29"/>
    <hyperlink r:id="rId77" ref="O29"/>
    <hyperlink r:id="rId78" ref="P29"/>
    <hyperlink r:id="rId79" ref="N31"/>
    <hyperlink r:id="rId80" ref="O31"/>
    <hyperlink r:id="rId81" ref="N33"/>
    <hyperlink r:id="rId82" ref="O33"/>
    <hyperlink r:id="rId83" ref="N34"/>
    <hyperlink r:id="rId84" ref="O34"/>
    <hyperlink r:id="rId85" ref="P34"/>
    <hyperlink r:id="rId86" ref="N35"/>
    <hyperlink r:id="rId87" ref="O35"/>
    <hyperlink r:id="rId88" ref="P35"/>
    <hyperlink r:id="rId89" ref="N36"/>
    <hyperlink r:id="rId90" ref="O36"/>
    <hyperlink r:id="rId91" ref="P36"/>
    <hyperlink r:id="rId92" ref="N37"/>
    <hyperlink r:id="rId93" ref="O37"/>
    <hyperlink r:id="rId94" ref="P37"/>
    <hyperlink r:id="rId95" ref="N38"/>
    <hyperlink r:id="rId96" ref="O38"/>
    <hyperlink r:id="rId97" ref="P38"/>
    <hyperlink r:id="rId98" ref="N39"/>
    <hyperlink r:id="rId99" ref="O39"/>
    <hyperlink r:id="rId100" ref="P39"/>
    <hyperlink r:id="rId101" ref="M40"/>
    <hyperlink r:id="rId102" ref="N40"/>
    <hyperlink r:id="rId103" ref="O40"/>
    <hyperlink r:id="rId104" ref="P40"/>
    <hyperlink r:id="rId105" ref="M41"/>
    <hyperlink r:id="rId106" ref="N42"/>
    <hyperlink r:id="rId107" ref="O42"/>
    <hyperlink r:id="rId108" ref="P42"/>
    <hyperlink r:id="rId109" ref="M43"/>
    <hyperlink r:id="rId110" ref="N43"/>
    <hyperlink r:id="rId111" ref="O43"/>
    <hyperlink r:id="rId112" ref="P43"/>
    <hyperlink r:id="rId113" ref="M44"/>
    <hyperlink r:id="rId114" ref="M45"/>
    <hyperlink r:id="rId115" ref="N45"/>
    <hyperlink r:id="rId116" ref="O45"/>
    <hyperlink r:id="rId117" ref="P45"/>
    <hyperlink r:id="rId118" ref="M46"/>
    <hyperlink r:id="rId119" ref="N46"/>
    <hyperlink r:id="rId120" ref="O46"/>
    <hyperlink r:id="rId121" ref="P46"/>
    <hyperlink r:id="rId122" ref="M47"/>
    <hyperlink r:id="rId123" ref="N47"/>
    <hyperlink r:id="rId124" ref="O47"/>
    <hyperlink r:id="rId125" ref="P47"/>
    <hyperlink r:id="rId126" ref="M48"/>
    <hyperlink r:id="rId127" ref="N48"/>
    <hyperlink r:id="rId128" ref="O48"/>
    <hyperlink r:id="rId129" ref="P48"/>
    <hyperlink r:id="rId130" ref="M49"/>
    <hyperlink r:id="rId131" ref="N49"/>
    <hyperlink r:id="rId132" ref="O49"/>
    <hyperlink r:id="rId133" ref="P49"/>
    <hyperlink r:id="rId134" ref="M50"/>
    <hyperlink r:id="rId135" ref="N50"/>
    <hyperlink r:id="rId136" ref="O50"/>
    <hyperlink r:id="rId137" ref="P50"/>
    <hyperlink r:id="rId138" ref="M51"/>
    <hyperlink r:id="rId139" ref="N51"/>
    <hyperlink r:id="rId140" ref="O51"/>
    <hyperlink r:id="rId141" ref="P51"/>
    <hyperlink r:id="rId142" ref="M52"/>
    <hyperlink r:id="rId143" ref="N52"/>
    <hyperlink r:id="rId144" ref="O52"/>
    <hyperlink r:id="rId145" ref="P52"/>
    <hyperlink r:id="rId146" ref="M53"/>
    <hyperlink r:id="rId147" ref="N53"/>
    <hyperlink r:id="rId148" ref="O53"/>
    <hyperlink r:id="rId149" ref="P53"/>
    <hyperlink r:id="rId150" ref="M54"/>
    <hyperlink r:id="rId151" ref="M55"/>
    <hyperlink r:id="rId152" ref="N55"/>
    <hyperlink r:id="rId153" ref="N56"/>
    <hyperlink r:id="rId154" ref="O56"/>
    <hyperlink r:id="rId155" ref="P56"/>
    <hyperlink r:id="rId156" ref="M57"/>
    <hyperlink r:id="rId157" ref="N57"/>
    <hyperlink r:id="rId158" ref="O57"/>
    <hyperlink r:id="rId159" ref="P57"/>
    <hyperlink r:id="rId160" ref="N58"/>
    <hyperlink r:id="rId161" ref="O58"/>
    <hyperlink r:id="rId162" ref="P58"/>
    <hyperlink r:id="rId163" ref="M59"/>
    <hyperlink r:id="rId164" ref="N59"/>
    <hyperlink r:id="rId165" ref="O59"/>
    <hyperlink r:id="rId166" ref="P59"/>
    <hyperlink r:id="rId167" ref="M60"/>
    <hyperlink r:id="rId168" ref="N60"/>
    <hyperlink r:id="rId169" ref="O60"/>
    <hyperlink r:id="rId170" ref="P60"/>
    <hyperlink r:id="rId171" ref="M61"/>
    <hyperlink r:id="rId172" ref="N61"/>
    <hyperlink r:id="rId173" ref="O61"/>
    <hyperlink r:id="rId174" ref="P61"/>
    <hyperlink r:id="rId175" ref="M62"/>
    <hyperlink r:id="rId176" ref="N62"/>
    <hyperlink r:id="rId177" ref="O62"/>
    <hyperlink r:id="rId178" ref="P62"/>
    <hyperlink r:id="rId179" ref="M63"/>
    <hyperlink r:id="rId180" ref="N63"/>
    <hyperlink r:id="rId181" ref="O63"/>
    <hyperlink r:id="rId182" ref="P63"/>
    <hyperlink r:id="rId183" ref="N64"/>
    <hyperlink r:id="rId184" ref="O64"/>
    <hyperlink r:id="rId185" ref="P64"/>
    <hyperlink r:id="rId186" ref="M65"/>
    <hyperlink r:id="rId187" ref="N65"/>
    <hyperlink r:id="rId188" ref="O65"/>
    <hyperlink r:id="rId189" ref="P65"/>
    <hyperlink r:id="rId190" ref="M66"/>
    <hyperlink r:id="rId191" ref="N66"/>
    <hyperlink r:id="rId192" ref="O66"/>
    <hyperlink r:id="rId193" ref="P66"/>
    <hyperlink r:id="rId194" ref="M67"/>
    <hyperlink r:id="rId195" ref="N67"/>
    <hyperlink r:id="rId196" ref="O67"/>
    <hyperlink r:id="rId197" ref="P67"/>
    <hyperlink r:id="rId198" ref="N68"/>
    <hyperlink r:id="rId199" ref="O68"/>
    <hyperlink r:id="rId200" ref="N69"/>
    <hyperlink r:id="rId201" ref="O69"/>
    <hyperlink r:id="rId202" ref="N70"/>
    <hyperlink r:id="rId203" ref="O70"/>
    <hyperlink r:id="rId204" ref="M71"/>
    <hyperlink r:id="rId205" ref="N71"/>
    <hyperlink r:id="rId206" ref="O71"/>
    <hyperlink r:id="rId207" ref="N72"/>
    <hyperlink r:id="rId208" ref="O72"/>
    <hyperlink r:id="rId209" ref="P72"/>
    <hyperlink r:id="rId210" ref="N73"/>
    <hyperlink r:id="rId211" ref="O73"/>
    <hyperlink r:id="rId212" ref="P73"/>
    <hyperlink r:id="rId213" ref="M74"/>
    <hyperlink r:id="rId214" ref="N74"/>
    <hyperlink r:id="rId215" ref="O74"/>
    <hyperlink r:id="rId216" ref="P74"/>
    <hyperlink r:id="rId217" ref="N75"/>
    <hyperlink r:id="rId218" ref="O75"/>
    <hyperlink r:id="rId219" ref="P75"/>
    <hyperlink r:id="rId220" ref="N76"/>
    <hyperlink r:id="rId221" ref="O76"/>
    <hyperlink r:id="rId222" ref="P76"/>
    <hyperlink r:id="rId223" ref="M77"/>
    <hyperlink r:id="rId224" ref="N77"/>
    <hyperlink r:id="rId225" ref="O77"/>
    <hyperlink r:id="rId226" ref="P77"/>
    <hyperlink r:id="rId227" ref="N78"/>
    <hyperlink r:id="rId228" ref="O78"/>
    <hyperlink r:id="rId229" ref="P78"/>
    <hyperlink r:id="rId230" ref="M79"/>
    <hyperlink r:id="rId231" ref="N79"/>
    <hyperlink r:id="rId232" ref="O79"/>
    <hyperlink r:id="rId233" ref="P79"/>
    <hyperlink r:id="rId234" ref="M80"/>
    <hyperlink r:id="rId235" ref="N80"/>
    <hyperlink r:id="rId236" ref="M81"/>
    <hyperlink r:id="rId237" ref="N81"/>
    <hyperlink r:id="rId238" ref="O81"/>
    <hyperlink r:id="rId239" ref="P81"/>
    <hyperlink r:id="rId240" ref="M82"/>
    <hyperlink r:id="rId241" ref="N82"/>
    <hyperlink r:id="rId242" ref="O82"/>
    <hyperlink r:id="rId243" ref="M83"/>
    <hyperlink r:id="rId244" ref="N83"/>
    <hyperlink r:id="rId245" ref="M84"/>
    <hyperlink r:id="rId246" ref="N84"/>
    <hyperlink r:id="rId247" ref="O84"/>
    <hyperlink r:id="rId248" ref="P84"/>
    <hyperlink r:id="rId249" ref="N85"/>
    <hyperlink r:id="rId250" ref="O85"/>
    <hyperlink r:id="rId251" ref="M86"/>
    <hyperlink r:id="rId252" ref="N86"/>
    <hyperlink r:id="rId253" ref="O86"/>
    <hyperlink r:id="rId254" ref="N87"/>
    <hyperlink r:id="rId255" ref="O87"/>
    <hyperlink r:id="rId256" ref="N88"/>
    <hyperlink r:id="rId257" ref="O88"/>
    <hyperlink r:id="rId258" ref="M89"/>
    <hyperlink r:id="rId259" ref="N89"/>
    <hyperlink r:id="rId260" ref="M90"/>
    <hyperlink r:id="rId261" ref="N90"/>
    <hyperlink r:id="rId262" ref="O90"/>
    <hyperlink r:id="rId263" ref="N91"/>
    <hyperlink r:id="rId264" ref="O91"/>
    <hyperlink r:id="rId265" ref="N92"/>
    <hyperlink r:id="rId266" ref="O92"/>
    <hyperlink r:id="rId267" ref="M93"/>
    <hyperlink r:id="rId268" ref="N93"/>
    <hyperlink r:id="rId269" ref="O93"/>
    <hyperlink r:id="rId270" ref="M94"/>
    <hyperlink r:id="rId271" ref="N94"/>
    <hyperlink r:id="rId272" ref="O94"/>
    <hyperlink r:id="rId273" ref="M95"/>
    <hyperlink r:id="rId274" ref="N95"/>
    <hyperlink r:id="rId275" ref="O95"/>
    <hyperlink r:id="rId276" ref="M96"/>
    <hyperlink r:id="rId277" ref="N96"/>
    <hyperlink r:id="rId278" ref="O96"/>
    <hyperlink r:id="rId279" ref="M97"/>
    <hyperlink r:id="rId280" ref="N97"/>
    <hyperlink r:id="rId281" ref="O97"/>
    <hyperlink r:id="rId282" ref="P97"/>
    <hyperlink r:id="rId283" ref="M98"/>
    <hyperlink r:id="rId284" ref="N98"/>
    <hyperlink r:id="rId285" ref="O98"/>
    <hyperlink r:id="rId286" ref="P98"/>
    <hyperlink r:id="rId287" ref="M99"/>
    <hyperlink r:id="rId288" ref="M100"/>
    <hyperlink r:id="rId289" ref="N100"/>
    <hyperlink r:id="rId290" ref="O100"/>
    <hyperlink r:id="rId291" ref="P100"/>
    <hyperlink r:id="rId292" ref="N105"/>
    <hyperlink r:id="rId293" ref="O105"/>
    <hyperlink r:id="rId294" ref="N106"/>
    <hyperlink r:id="rId295" ref="O106"/>
    <hyperlink r:id="rId296" ref="P106"/>
    <hyperlink r:id="rId297" ref="N107"/>
    <hyperlink r:id="rId298" ref="O107"/>
    <hyperlink r:id="rId299" ref="P107"/>
    <hyperlink r:id="rId300" ref="N108"/>
    <hyperlink r:id="rId301" ref="O108"/>
    <hyperlink r:id="rId302" ref="P108"/>
    <hyperlink r:id="rId303" ref="N109"/>
    <hyperlink r:id="rId304" ref="O109"/>
    <hyperlink r:id="rId305" ref="P109"/>
    <hyperlink r:id="rId306" ref="N110"/>
    <hyperlink r:id="rId307" ref="O110"/>
    <hyperlink r:id="rId308" ref="P110"/>
    <hyperlink r:id="rId309" ref="N111"/>
    <hyperlink r:id="rId310" ref="O111"/>
    <hyperlink r:id="rId311" ref="P111"/>
    <hyperlink r:id="rId312" ref="N112"/>
    <hyperlink r:id="rId313" ref="O112"/>
    <hyperlink r:id="rId314" ref="G113"/>
    <hyperlink r:id="rId315" ref="M114"/>
    <hyperlink r:id="rId316" ref="N114"/>
    <hyperlink r:id="rId317" ref="O114"/>
    <hyperlink r:id="rId318" ref="P114"/>
    <hyperlink r:id="rId319" ref="M115"/>
    <hyperlink r:id="rId320" ref="N115"/>
    <hyperlink r:id="rId321" ref="O115"/>
    <hyperlink r:id="rId322" ref="M116"/>
    <hyperlink r:id="rId323" ref="N116"/>
    <hyperlink r:id="rId324" ref="O116"/>
    <hyperlink r:id="rId325" ref="N117"/>
    <hyperlink r:id="rId326" ref="O117"/>
    <hyperlink r:id="rId327" ref="M118"/>
    <hyperlink r:id="rId328" ref="N118"/>
    <hyperlink r:id="rId329" ref="O118"/>
    <hyperlink r:id="rId330" ref="N119"/>
    <hyperlink r:id="rId331" ref="O119"/>
    <hyperlink r:id="rId332" ref="N120"/>
    <hyperlink r:id="rId333" ref="O120"/>
    <hyperlink r:id="rId334" ref="P120"/>
    <hyperlink r:id="rId335" ref="N121"/>
    <hyperlink r:id="rId336" ref="O121"/>
    <hyperlink r:id="rId337" ref="N122"/>
    <hyperlink r:id="rId338" ref="O122"/>
    <hyperlink r:id="rId339" ref="P122"/>
    <hyperlink r:id="rId340" ref="M123"/>
    <hyperlink r:id="rId341" ref="N123"/>
    <hyperlink r:id="rId342" ref="O123"/>
    <hyperlink r:id="rId343" ref="N124"/>
    <hyperlink r:id="rId344" ref="O124"/>
    <hyperlink r:id="rId345" ref="M125"/>
    <hyperlink r:id="rId346" ref="N125"/>
    <hyperlink r:id="rId347" ref="O125"/>
    <hyperlink r:id="rId348" ref="M126"/>
    <hyperlink r:id="rId349" ref="N126"/>
    <hyperlink r:id="rId350" ref="O126"/>
    <hyperlink r:id="rId351" ref="N127"/>
    <hyperlink r:id="rId352" ref="O127"/>
    <hyperlink r:id="rId353" ref="P127"/>
    <hyperlink r:id="rId354" ref="N128"/>
    <hyperlink r:id="rId355" ref="O128"/>
    <hyperlink r:id="rId356" ref="P128"/>
    <hyperlink r:id="rId357" ref="N129"/>
    <hyperlink r:id="rId358" ref="O129"/>
    <hyperlink r:id="rId359" ref="P129"/>
    <hyperlink r:id="rId360" ref="N130"/>
    <hyperlink r:id="rId361" ref="O130"/>
    <hyperlink r:id="rId362" ref="P130"/>
    <hyperlink r:id="rId363" ref="N131"/>
    <hyperlink r:id="rId364" ref="O131"/>
    <hyperlink r:id="rId365" ref="P131"/>
    <hyperlink r:id="rId366" ref="N132"/>
    <hyperlink r:id="rId367" ref="O132"/>
    <hyperlink r:id="rId368" ref="P132"/>
    <hyperlink r:id="rId369" ref="N133"/>
    <hyperlink r:id="rId370" ref="O133"/>
    <hyperlink r:id="rId371" ref="N134"/>
    <hyperlink r:id="rId372" ref="N135"/>
    <hyperlink r:id="rId373" ref="O135"/>
    <hyperlink r:id="rId374" ref="P135"/>
    <hyperlink r:id="rId375" ref="M136"/>
    <hyperlink r:id="rId376" ref="N136"/>
    <hyperlink r:id="rId377" ref="O136"/>
    <hyperlink r:id="rId378" ref="P136"/>
    <hyperlink r:id="rId379" ref="N137"/>
    <hyperlink r:id="rId380" ref="O137"/>
    <hyperlink r:id="rId381" ref="M138"/>
    <hyperlink r:id="rId382" ref="N139"/>
    <hyperlink r:id="rId383" ref="O139"/>
    <hyperlink r:id="rId384" ref="P139"/>
    <hyperlink r:id="rId385" ref="M140"/>
    <hyperlink r:id="rId386" ref="N140"/>
    <hyperlink r:id="rId387" ref="O140"/>
    <hyperlink r:id="rId388" ref="P140"/>
  </hyperlinks>
  <printOptions/>
  <pageMargins bottom="0.0" footer="0.0" header="0.0" left="0.0" right="0.0" top="0.0"/>
  <pageSetup orientation="portrait"/>
  <drawing r:id="rId389"/>
  <legacyDrawing r:id="rId3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7.0"/>
    <col customWidth="1" min="2" max="2" width="15.13"/>
    <col customWidth="1" min="3" max="3" width="26.88"/>
    <col customWidth="1" min="4" max="4" width="13.0"/>
    <col customWidth="1" min="5" max="6" width="14.63"/>
    <col customWidth="1" min="7" max="7" width="15.38"/>
    <col customWidth="1" min="8" max="8" width="13.75"/>
    <col customWidth="1" min="9" max="9" width="34.63"/>
    <col customWidth="1" min="10" max="10" width="29.88"/>
    <col customWidth="1" min="11" max="11" width="2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5" t="s">
        <v>5</v>
      </c>
      <c r="G1" s="1" t="s">
        <v>7</v>
      </c>
      <c r="H1" s="1" t="s">
        <v>6</v>
      </c>
      <c r="I1" s="1" t="s">
        <v>9</v>
      </c>
      <c r="J1" s="1" t="s">
        <v>11</v>
      </c>
      <c r="K1" s="1" t="s">
        <v>12</v>
      </c>
      <c r="L1" s="1" t="s">
        <v>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5" t="str">
        <f>'Owners Info'!A2</f>
        <v>Avida Storeys 1</v>
      </c>
      <c r="B2" s="20" t="str">
        <f>'Owners Info'!B2</f>
        <v>P S1 503</v>
      </c>
      <c r="C2" s="20" t="str">
        <f>'Owners Info'!F2</f>
        <v>Nino Donato Pison</v>
      </c>
      <c r="D2" s="20" t="str">
        <f>'Owners Info'!I2</f>
        <v>Fixed</v>
      </c>
      <c r="E2" s="26">
        <f>'Owners Info'!J2</f>
        <v>45184</v>
      </c>
      <c r="F2" s="27" t="str">
        <f>'Owners Info'!K2</f>
        <v>MISSING</v>
      </c>
      <c r="G2" s="28" t="str">
        <f>'Owners Info'!L2</f>
        <v>?</v>
      </c>
      <c r="H2" s="28" t="str">
        <f>'Owners Info'!C2</f>
        <v>ACTIVE</v>
      </c>
      <c r="I2" s="28" t="str">
        <f>'Owners Info'!M2</f>
        <v/>
      </c>
      <c r="J2" s="27" t="str">
        <f>'Owners Info'!G2</f>
        <v>n_pison@yahoo.com</v>
      </c>
      <c r="K2" s="15"/>
      <c r="L2" s="15">
        <v>2.0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6" t="str">
        <f>'Owners Info'!A3</f>
        <v>Avida Storeys 1</v>
      </c>
      <c r="B3" s="39" t="str">
        <f>'Owners Info'!B3</f>
        <v>S S1 717</v>
      </c>
      <c r="C3" s="39" t="str">
        <f>'Owners Info'!F3</f>
        <v>Revrose Selyn Pison</v>
      </c>
      <c r="D3" s="39" t="str">
        <f>'Owners Info'!I3</f>
        <v>Fixed</v>
      </c>
      <c r="E3" s="41">
        <f>'Owners Info'!J3</f>
        <v>45180</v>
      </c>
      <c r="F3" s="43" t="str">
        <f>'Owners Info'!K3</f>
        <v>MISSING</v>
      </c>
      <c r="G3" s="46" t="str">
        <f>'Owners Info'!L3</f>
        <v>?</v>
      </c>
      <c r="H3" s="46" t="str">
        <f>'Owners Info'!C3</f>
        <v>ACTIVE</v>
      </c>
      <c r="I3" s="46" t="str">
        <f>'Owners Info'!M3</f>
        <v/>
      </c>
      <c r="J3" s="43" t="str">
        <f>'Owners Info'!G3</f>
        <v>n_pison@yahoo.com</v>
      </c>
      <c r="K3" s="36"/>
      <c r="L3" s="36">
        <v>3.0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15" t="str">
        <f>'Owners Info'!A4</f>
        <v>Avida Storeys 1</v>
      </c>
      <c r="B4" s="20" t="str">
        <f>'Owners Info'!B4</f>
        <v>S1 408</v>
      </c>
      <c r="C4" s="20" t="str">
        <f>'Owners Info'!F4</f>
        <v>Edgardo Pison</v>
      </c>
      <c r="D4" s="20" t="str">
        <f>'Owners Info'!I4</f>
        <v>Fixed</v>
      </c>
      <c r="E4" s="26">
        <f>'Owners Info'!J4</f>
        <v>45180</v>
      </c>
      <c r="F4" s="27" t="str">
        <f>'Owners Info'!K4</f>
        <v>MISSING</v>
      </c>
      <c r="G4" s="28" t="str">
        <f>'Owners Info'!L4</f>
        <v>?</v>
      </c>
      <c r="H4" s="28" t="str">
        <f>'Owners Info'!C4</f>
        <v>ACTIVE</v>
      </c>
      <c r="I4" s="28" t="str">
        <f>'Owners Info'!M4</f>
        <v/>
      </c>
      <c r="J4" s="27" t="str">
        <f>'Owners Info'!G4</f>
        <v>n_pison@yahoo.com</v>
      </c>
      <c r="K4" s="15"/>
      <c r="L4" s="15">
        <v>4.0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6" t="str">
        <f>'Owners Info'!A5</f>
        <v>Avida Storeys 1</v>
      </c>
      <c r="B5" s="39" t="str">
        <f>'Owners Info'!B5</f>
        <v>S2 S1 210</v>
      </c>
      <c r="C5" s="39" t="str">
        <f>'Owners Info'!F5</f>
        <v>Dondon Pison</v>
      </c>
      <c r="D5" s="39" t="str">
        <f>'Owners Info'!I5</f>
        <v>Fixed</v>
      </c>
      <c r="E5" s="41">
        <f>'Owners Info'!J5</f>
        <v>45458</v>
      </c>
      <c r="F5" s="41">
        <f>'Owners Info'!K5</f>
        <v>46188</v>
      </c>
      <c r="G5" s="46" t="str">
        <f>'Owners Info'!L5</f>
        <v>EXPIRED</v>
      </c>
      <c r="H5" s="46" t="str">
        <f>'Owners Info'!C5</f>
        <v>ACTIVE</v>
      </c>
      <c r="I5" s="46" t="str">
        <f>'Owners Info'!M5</f>
        <v/>
      </c>
      <c r="J5" s="43" t="str">
        <f>'Owners Info'!G5</f>
        <v>n_pison@yahoo.com</v>
      </c>
      <c r="K5" s="36"/>
      <c r="L5" s="36">
        <v>5.0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5" t="str">
        <f>'Owners Info'!A6</f>
        <v>Avida Storeys 1</v>
      </c>
      <c r="B6" s="20" t="str">
        <f>'Owners Info'!B6</f>
        <v>H S1 506</v>
      </c>
      <c r="C6" s="20" t="str">
        <f>'Owners Info'!F6</f>
        <v>Bacolod Concept Realty Corp.</v>
      </c>
      <c r="D6" s="20" t="str">
        <f>'Owners Info'!I6</f>
        <v>Fixed</v>
      </c>
      <c r="E6" s="26">
        <f>'Owners Info'!J6</f>
        <v>45061</v>
      </c>
      <c r="F6" s="27" t="str">
        <f>'Owners Info'!K6</f>
        <v>MISSING</v>
      </c>
      <c r="G6" s="28" t="str">
        <f>'Owners Info'!L6</f>
        <v>INACTIVE</v>
      </c>
      <c r="H6" s="28" t="str">
        <f>'Owners Info'!C6</f>
        <v>INACTIVE</v>
      </c>
      <c r="I6" s="28" t="str">
        <f>'Owners Info'!M6</f>
        <v/>
      </c>
      <c r="J6" s="27" t="str">
        <f>'Owners Info'!G6</f>
        <v>n_pison@yahoo.com</v>
      </c>
      <c r="K6" s="15"/>
      <c r="L6" s="15">
        <v>6.0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6" t="str">
        <f>'Owners Info'!A7</f>
        <v>Avida Storeys 1</v>
      </c>
      <c r="B7" s="39" t="str">
        <f>'Owners Info'!B7</f>
        <v>Y S1 704</v>
      </c>
      <c r="C7" s="39" t="str">
        <f>'Owners Info'!F7</f>
        <v>Goldamier Ybera Chua</v>
      </c>
      <c r="D7" s="39" t="str">
        <f>'Owners Info'!I7</f>
        <v>Partnership</v>
      </c>
      <c r="E7" s="41">
        <f>'Owners Info'!J7</f>
        <v>45717</v>
      </c>
      <c r="F7" s="41">
        <f>'Owners Info'!K7</f>
        <v>46082</v>
      </c>
      <c r="G7" s="46" t="str">
        <f>'Owners Info'!L7</f>
        <v>EXPIRED</v>
      </c>
      <c r="H7" s="46" t="str">
        <f>'Owners Info'!C7</f>
        <v>ACTIVE</v>
      </c>
      <c r="I7" s="46" t="str">
        <f>'Owners Info'!M7</f>
        <v/>
      </c>
      <c r="J7" s="43" t="str">
        <f>'Owners Info'!G7</f>
        <v>goldameirchua@gycmarketingopc.com</v>
      </c>
      <c r="K7" s="36"/>
      <c r="L7" s="36">
        <v>7.0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5" t="str">
        <f>'Owners Info'!A8</f>
        <v>Avida Storeys 2</v>
      </c>
      <c r="B8" s="20" t="str">
        <f>'Owners Info'!B8</f>
        <v>Y2 S2 203</v>
      </c>
      <c r="C8" s="20" t="str">
        <f>'Owners Info'!F8</f>
        <v>Ma. Crislyne Mae Espinosa</v>
      </c>
      <c r="D8" s="20" t="str">
        <f>'Owners Info'!I8</f>
        <v>Partnership</v>
      </c>
      <c r="E8" s="26">
        <f>'Owners Info'!J8</f>
        <v>45506</v>
      </c>
      <c r="F8" s="26">
        <f>'Owners Info'!K8</f>
        <v>45871</v>
      </c>
      <c r="G8" s="28" t="str">
        <f>'Owners Info'!L8</f>
        <v>EXPIRED</v>
      </c>
      <c r="H8" s="28" t="str">
        <f>'Owners Info'!C8</f>
        <v>ACTIVE</v>
      </c>
      <c r="I8" s="79" t="str">
        <f>'Owners Info'!M8</f>
        <v>Y2 S2 203 - ESPINOSA.pdf</v>
      </c>
      <c r="J8" s="27" t="str">
        <f>'Owners Info'!G8</f>
        <v>arlandbarvilla@gmail.com</v>
      </c>
      <c r="K8" s="15"/>
      <c r="L8" s="15">
        <v>8.0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6" t="str">
        <f>'Owners Info'!A9</f>
        <v>Avida Storeys 2</v>
      </c>
      <c r="B9" s="39" t="str">
        <f>'Owners Info'!B9</f>
        <v>K2 S2 322</v>
      </c>
      <c r="C9" s="39" t="str">
        <f>'Owners Info'!F9</f>
        <v> </v>
      </c>
      <c r="D9" s="39" t="str">
        <f>'Owners Info'!I9</f>
        <v>Fixed</v>
      </c>
      <c r="E9" s="41">
        <f>'Owners Info'!J9</f>
        <v>45245</v>
      </c>
      <c r="F9" s="43" t="str">
        <f>'Owners Info'!K9</f>
        <v>MISSING</v>
      </c>
      <c r="G9" s="46" t="str">
        <f>'Owners Info'!L9</f>
        <v>?</v>
      </c>
      <c r="H9" s="46" t="str">
        <f>'Owners Info'!C9</f>
        <v>ACTIVE</v>
      </c>
      <c r="I9" s="46" t="str">
        <f>'Owners Info'!M9</f>
        <v/>
      </c>
      <c r="J9" s="43" t="str">
        <f>'Owners Info'!G9</f>
        <v>n_pison@yahoo.com</v>
      </c>
      <c r="K9" s="36"/>
      <c r="L9" s="36">
        <v>9.0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5" t="str">
        <f>'Owners Info'!A10</f>
        <v>Avida Storeys 2</v>
      </c>
      <c r="B10" s="20" t="str">
        <f>'Owners Info'!B10</f>
        <v>L S2 716</v>
      </c>
      <c r="C10" s="20" t="str">
        <f>'Owners Info'!F10</f>
        <v>Raymund Trenas</v>
      </c>
      <c r="D10" s="20" t="str">
        <f>'Owners Info'!I10</f>
        <v>Fixed</v>
      </c>
      <c r="E10" s="26">
        <f>'Owners Info'!J10</f>
        <v>45180</v>
      </c>
      <c r="F10" s="27" t="str">
        <f>'Owners Info'!K10</f>
        <v>MISSING</v>
      </c>
      <c r="G10" s="28" t="str">
        <f>'Owners Info'!L10</f>
        <v>?</v>
      </c>
      <c r="H10" s="28" t="str">
        <f>'Owners Info'!C10</f>
        <v>ACTIVE</v>
      </c>
      <c r="I10" s="28" t="str">
        <f>'Owners Info'!M10</f>
        <v/>
      </c>
      <c r="J10" s="27" t="str">
        <f>'Owners Info'!G10</f>
        <v>raytrenas@gmail.com</v>
      </c>
      <c r="K10" s="15"/>
      <c r="L10" s="15">
        <v>10.0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6" t="str">
        <f>'Owners Info'!A11</f>
        <v>Avida Storeys 2</v>
      </c>
      <c r="B11" s="39" t="str">
        <f>'Owners Info'!B11</f>
        <v>T2 S2 703</v>
      </c>
      <c r="C11" s="39" t="str">
        <f>'Owners Info'!F11</f>
        <v>Leo Paranpan</v>
      </c>
      <c r="D11" s="39" t="str">
        <f>'Owners Info'!I11</f>
        <v>Partnership</v>
      </c>
      <c r="E11" s="41">
        <f>'Owners Info'!J11</f>
        <v>45461</v>
      </c>
      <c r="F11" s="41">
        <f>'Owners Info'!K11</f>
        <v>45826</v>
      </c>
      <c r="G11" s="46" t="str">
        <f>'Owners Info'!L11</f>
        <v>EXPIRED</v>
      </c>
      <c r="H11" s="46" t="str">
        <f>'Owners Info'!C11</f>
        <v>FOR RENEWAL</v>
      </c>
      <c r="I11" s="84" t="str">
        <f>'Owners Info'!M11</f>
        <v>T2 S2 703 - PARANPAN.pdf</v>
      </c>
      <c r="J11" s="43" t="str">
        <f>'Owners Info'!G11</f>
        <v>lparanpan@yahoo.com</v>
      </c>
      <c r="K11" s="36"/>
      <c r="L11" s="36">
        <v>11.0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5" t="str">
        <f>'Owners Info'!A12</f>
        <v>Avida Tower 1</v>
      </c>
      <c r="B12" s="20" t="str">
        <f>'Owners Info'!B12</f>
        <v>D T1 917</v>
      </c>
      <c r="C12" s="20" t="str">
        <f>'Owners Info'!F12</f>
        <v>Robert Stanley Po</v>
      </c>
      <c r="D12" s="20" t="str">
        <f>'Owners Info'!I12</f>
        <v>Partnership</v>
      </c>
      <c r="E12" s="26">
        <f>'Owners Info'!J12</f>
        <v>45809</v>
      </c>
      <c r="F12" s="26">
        <f>'Owners Info'!K12</f>
        <v>46174</v>
      </c>
      <c r="G12" s="28" t="str">
        <f>'Owners Info'!L12</f>
        <v>EXPIRED</v>
      </c>
      <c r="H12" s="28" t="str">
        <f>'Owners Info'!C12</f>
        <v>ACTIVE</v>
      </c>
      <c r="I12" s="28" t="str">
        <f>'Owners Info'!M12</f>
        <v/>
      </c>
      <c r="J12" s="27" t="str">
        <f>'Owners Info'!G12</f>
        <v>cltpo@icloud.com</v>
      </c>
      <c r="K12" s="15"/>
      <c r="L12" s="15">
        <v>12.0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6" t="str">
        <f>'Owners Info'!A13</f>
        <v>Avida Tower 1</v>
      </c>
      <c r="B13" s="39" t="str">
        <f>'Owners Info'!B13</f>
        <v>C3 T1 428</v>
      </c>
      <c r="C13" s="39" t="str">
        <f>'Owners Info'!F13</f>
        <v>Ramona Beck</v>
      </c>
      <c r="D13" s="39" t="str">
        <f>'Owners Info'!I13</f>
        <v>75/25 Partner</v>
      </c>
      <c r="E13" s="41">
        <f>'Owners Info'!J13</f>
        <v>45635</v>
      </c>
      <c r="F13" s="41">
        <f>'Owners Info'!K13</f>
        <v>46000</v>
      </c>
      <c r="G13" s="46" t="str">
        <f>'Owners Info'!L13</f>
        <v>EXPIRED</v>
      </c>
      <c r="H13" s="46" t="str">
        <f>'Owners Info'!C13</f>
        <v>ACTIVE</v>
      </c>
      <c r="I13" s="46" t="str">
        <f>'Owners Info'!M13</f>
        <v/>
      </c>
      <c r="J13" s="43" t="str">
        <f>'Owners Info'!G13</f>
        <v>mona_beck2001@yahoo.com</v>
      </c>
      <c r="K13" s="36"/>
      <c r="L13" s="36">
        <v>13.0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5" t="str">
        <f>'Owners Info'!A14</f>
        <v>Avida Tower 1</v>
      </c>
      <c r="B14" s="20" t="str">
        <f>'Owners Info'!B14</f>
        <v>A3 T1 1524</v>
      </c>
      <c r="C14" s="20" t="str">
        <f>'Owners Info'!F14</f>
        <v>Elvie Dofitas</v>
      </c>
      <c r="D14" s="20" t="str">
        <f>'Owners Info'!I14</f>
        <v>75/25 Partner</v>
      </c>
      <c r="E14" s="26">
        <f>'Owners Info'!J14</f>
        <v>45600</v>
      </c>
      <c r="F14" s="26">
        <f>'Owners Info'!K14</f>
        <v>45781</v>
      </c>
      <c r="G14" s="28" t="str">
        <f>'Owners Info'!L14</f>
        <v>INACTIVE</v>
      </c>
      <c r="H14" s="28" t="str">
        <f>'Owners Info'!C14</f>
        <v>INACTIVE</v>
      </c>
      <c r="I14" s="79" t="str">
        <f>'Owners Info'!M14</f>
        <v>A3 T1 1524 - DOFITAS.pdf</v>
      </c>
      <c r="J14" s="27" t="str">
        <f>'Owners Info'!G14</f>
        <v>Elvie.dofitas08@gmail.com</v>
      </c>
      <c r="K14" s="15"/>
      <c r="L14" s="15">
        <v>14.0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6" t="str">
        <f>'Owners Info'!A15</f>
        <v>Avida Tower 1</v>
      </c>
      <c r="B15" s="39" t="str">
        <f>'Owners Info'!B15</f>
        <v>V2 T1 306</v>
      </c>
      <c r="C15" s="39" t="str">
        <f>'Owners Info'!F15</f>
        <v>Dondon Pison</v>
      </c>
      <c r="D15" s="39" t="str">
        <f>'Owners Info'!I15</f>
        <v>Partnership</v>
      </c>
      <c r="E15" s="41" t="str">
        <f>'Owners Info'!J15</f>
        <v/>
      </c>
      <c r="F15" s="41" t="str">
        <f>'Owners Info'!K15</f>
        <v/>
      </c>
      <c r="G15" s="46" t="str">
        <f>'Owners Info'!L15</f>
        <v/>
      </c>
      <c r="H15" s="46" t="str">
        <f>'Owners Info'!C15</f>
        <v>ACTIVE</v>
      </c>
      <c r="I15" s="46" t="str">
        <f>'Owners Info'!M15</f>
        <v/>
      </c>
      <c r="J15" s="43" t="str">
        <f>'Owners Info'!G15</f>
        <v>n_pison@yahoo.com</v>
      </c>
      <c r="K15" s="36"/>
      <c r="L15" s="36">
        <v>15.0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5" t="str">
        <f>'Owners Info'!A16</f>
        <v>Avida Tower 1</v>
      </c>
      <c r="B16" s="20" t="str">
        <f>'Owners Info'!B16</f>
        <v>B AT T1 501</v>
      </c>
      <c r="C16" s="20" t="str">
        <f>'Owners Info'!F16</f>
        <v>Angelina Cordero / Sarah Angela Cordero</v>
      </c>
      <c r="D16" s="20" t="str">
        <f>'Owners Info'!I16</f>
        <v>85/15 Partner</v>
      </c>
      <c r="E16" s="26" t="str">
        <f>'Owners Info'!J16</f>
        <v/>
      </c>
      <c r="F16" s="27" t="str">
        <f>'Owners Info'!K16</f>
        <v/>
      </c>
      <c r="G16" s="28" t="str">
        <f>'Owners Info'!L16</f>
        <v/>
      </c>
      <c r="H16" s="28" t="str">
        <f>'Owners Info'!C16</f>
        <v>ACTIVE</v>
      </c>
      <c r="I16" s="28" t="str">
        <f>'Owners Info'!M16</f>
        <v/>
      </c>
      <c r="J16" s="27" t="str">
        <f>'Owners Info'!G16</f>
        <v>docangie.thesmileologists@gmail.com</v>
      </c>
      <c r="K16" s="15"/>
      <c r="L16" s="15">
        <v>16.0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6" t="str">
        <f>'Owners Info'!A17</f>
        <v>Avida Tower 1</v>
      </c>
      <c r="B17" s="39" t="str">
        <f>'Owners Info'!B17</f>
        <v>U2 T1 221</v>
      </c>
      <c r="C17" s="39" t="str">
        <f>'Owners Info'!F17</f>
        <v>Ira Villanueva Valenzuela</v>
      </c>
      <c r="D17" s="39" t="str">
        <f>'Owners Info'!I17</f>
        <v>Partnership</v>
      </c>
      <c r="E17" s="41">
        <f>'Owners Info'!J17</f>
        <v>45474</v>
      </c>
      <c r="F17" s="41">
        <f>'Owners Info'!K17</f>
        <v>45839</v>
      </c>
      <c r="G17" s="46" t="str">
        <f>'Owners Info'!L17</f>
        <v>EXPIRED</v>
      </c>
      <c r="H17" s="46" t="str">
        <f>'Owners Info'!C17</f>
        <v>ACTIVE</v>
      </c>
      <c r="I17" s="84" t="str">
        <f>'Owners Info'!M17</f>
        <v>U2 T1 221 - VILLANUEVA.pdf</v>
      </c>
      <c r="J17" s="43" t="str">
        <f>'Owners Info'!G17</f>
        <v>villanueva_ira@yahoo.com</v>
      </c>
      <c r="K17" s="36"/>
      <c r="L17" s="36">
        <v>17.0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5" t="str">
        <f>'Owners Info'!A18</f>
        <v>Avida Tower 2</v>
      </c>
      <c r="B18" s="20" t="str">
        <f>'Owners Info'!B18</f>
        <v>T T2 815</v>
      </c>
      <c r="C18" s="20" t="str">
        <f>'Owners Info'!F18</f>
        <v>William Del Rosario</v>
      </c>
      <c r="D18" s="20" t="str">
        <f>'Owners Info'!I18</f>
        <v>Fixed</v>
      </c>
      <c r="E18" s="26" t="str">
        <f>'Owners Info'!J18</f>
        <v/>
      </c>
      <c r="F18" s="26" t="str">
        <f>'Owners Info'!K18</f>
        <v/>
      </c>
      <c r="G18" s="28" t="str">
        <f>'Owners Info'!L18</f>
        <v/>
      </c>
      <c r="H18" s="28" t="str">
        <f>'Owners Info'!C18</f>
        <v>ACTIVE</v>
      </c>
      <c r="I18" s="28" t="str">
        <f>'Owners Info'!M18</f>
        <v/>
      </c>
      <c r="J18" s="27" t="str">
        <f>'Owners Info'!G18</f>
        <v>bdelrosario1014@gmail.com</v>
      </c>
      <c r="K18" s="15"/>
      <c r="L18" s="15">
        <v>18.0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6" t="str">
        <f>'Owners Info'!A19</f>
        <v>Avida Tower 2</v>
      </c>
      <c r="B19" s="39" t="str">
        <f>'Owners Info'!B19</f>
        <v>E2 T2 309</v>
      </c>
      <c r="C19" s="39" t="str">
        <f>'Owners Info'!F19</f>
        <v>Mary Joyce Torrefranca</v>
      </c>
      <c r="D19" s="39" t="str">
        <f>'Owners Info'!I19</f>
        <v>Fixed</v>
      </c>
      <c r="E19" s="41">
        <f>'Owners Info'!J19</f>
        <v>45698</v>
      </c>
      <c r="F19" s="43" t="str">
        <f>'Owners Info'!K19</f>
        <v>MISSING</v>
      </c>
      <c r="G19" s="46" t="str">
        <f>'Owners Info'!L19</f>
        <v>?</v>
      </c>
      <c r="H19" s="46" t="str">
        <f>'Owners Info'!C19</f>
        <v>ACTIVE</v>
      </c>
      <c r="I19" s="46" t="str">
        <f>'Owners Info'!M19</f>
        <v/>
      </c>
      <c r="J19" s="43" t="str">
        <f>'Owners Info'!G19</f>
        <v>cant0910@yahoo.com</v>
      </c>
      <c r="K19" s="36"/>
      <c r="L19" s="36">
        <v>19.0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5" t="str">
        <f>'Owners Info'!A20</f>
        <v>Avida Tower 2</v>
      </c>
      <c r="B20" s="20" t="str">
        <f>'Owners Info'!B20</f>
        <v>R T2 1423</v>
      </c>
      <c r="C20" s="20" t="str">
        <f>'Owners Info'!F20</f>
        <v>Irene Lachica</v>
      </c>
      <c r="D20" s="20" t="str">
        <f>'Owners Info'!I20</f>
        <v>Fixed</v>
      </c>
      <c r="E20" s="26">
        <f>'Owners Info'!J20</f>
        <v>45184</v>
      </c>
      <c r="F20" s="27" t="str">
        <f>'Owners Info'!K20</f>
        <v>MISSING</v>
      </c>
      <c r="G20" s="28" t="str">
        <f>'Owners Info'!L20</f>
        <v>?</v>
      </c>
      <c r="H20" s="28" t="str">
        <f>'Owners Info'!C20</f>
        <v>ACTIVE</v>
      </c>
      <c r="I20" s="28" t="str">
        <f>'Owners Info'!M20</f>
        <v/>
      </c>
      <c r="J20" s="27" t="str">
        <f>'Owners Info'!G20</f>
        <v>irene.lachica@yahoo.com</v>
      </c>
      <c r="K20" s="15"/>
      <c r="L20" s="15">
        <v>20.0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36" t="str">
        <f>'Owners Info'!A22</f>
        <v>Avida Tower 2</v>
      </c>
      <c r="B21" s="39" t="str">
        <f>'Owners Info'!B22</f>
        <v>B2 T2 108</v>
      </c>
      <c r="C21" s="39" t="str">
        <f>'Owners Info'!F22</f>
        <v>Edward Espinosa</v>
      </c>
      <c r="D21" s="39" t="str">
        <f>'Owners Info'!I22</f>
        <v>Fixed</v>
      </c>
      <c r="E21" s="41">
        <f>'Owners Info'!J22</f>
        <v>45294</v>
      </c>
      <c r="F21" s="43" t="str">
        <f>'Owners Info'!K22</f>
        <v>MISSING</v>
      </c>
      <c r="G21" s="46" t="str">
        <f>'Owners Info'!L22</f>
        <v>?</v>
      </c>
      <c r="H21" s="46" t="str">
        <f>'Owners Info'!C22</f>
        <v>ACTIVE</v>
      </c>
      <c r="I21" s="46" t="str">
        <f>'Owners Info'!M22</f>
        <v/>
      </c>
      <c r="J21" s="43" t="str">
        <f>'Owners Info'!G22</f>
        <v>mariespinosa3185@gmail.com</v>
      </c>
      <c r="K21" s="36"/>
      <c r="L21" s="36">
        <v>21.0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5" t="str">
        <f>'Owners Info'!A23</f>
        <v>Avida Tower 2</v>
      </c>
      <c r="B22" s="20" t="str">
        <f>'Owners Info'!B23</f>
        <v>F T2 1020</v>
      </c>
      <c r="C22" s="20" t="str">
        <f>'Owners Info'!F23</f>
        <v>Kathreen Socorro Piamonte</v>
      </c>
      <c r="D22" s="20" t="str">
        <f>'Owners Info'!I23</f>
        <v>Fixed</v>
      </c>
      <c r="E22" s="26">
        <f>'Owners Info'!J23</f>
        <v>45022</v>
      </c>
      <c r="F22" s="27" t="str">
        <f>'Owners Info'!K23</f>
        <v>MISSING</v>
      </c>
      <c r="G22" s="28" t="str">
        <f>'Owners Info'!L23</f>
        <v>?</v>
      </c>
      <c r="H22" s="28" t="str">
        <f>'Owners Info'!C23</f>
        <v>ACTIVE</v>
      </c>
      <c r="I22" s="28" t="str">
        <f>'Owners Info'!M23</f>
        <v/>
      </c>
      <c r="J22" s="27" t="str">
        <f>'Owners Info'!G23</f>
        <v/>
      </c>
      <c r="K22" s="15"/>
      <c r="L22" s="15">
        <v>22.0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6" t="str">
        <f>'Owners Info'!A24</f>
        <v>Avida Tower 2</v>
      </c>
      <c r="B23" s="39" t="str">
        <f>'Owners Info'!B24</f>
        <v>N T2 421</v>
      </c>
      <c r="C23" s="39" t="str">
        <f>'Owners Info'!F24</f>
        <v>Roberto Gelvezon</v>
      </c>
      <c r="D23" s="39" t="str">
        <f>'Owners Info'!I24</f>
        <v>Fixed</v>
      </c>
      <c r="E23" s="41">
        <f>'Owners Info'!J24</f>
        <v>45143</v>
      </c>
      <c r="F23" s="41" t="str">
        <f>'Owners Info'!K24</f>
        <v/>
      </c>
      <c r="G23" s="46" t="str">
        <f>'Owners Info'!L24</f>
        <v/>
      </c>
      <c r="H23" s="46" t="str">
        <f>'Owners Info'!C24</f>
        <v>ACTIVE</v>
      </c>
      <c r="I23" s="46" t="str">
        <f>'Owners Info'!M24</f>
        <v/>
      </c>
      <c r="J23" s="43" t="str">
        <f>'Owners Info'!G24</f>
        <v/>
      </c>
      <c r="K23" s="36"/>
      <c r="L23" s="36">
        <v>23.0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5" t="str">
        <f>'Owners Info'!A26</f>
        <v>Avida Tower 2</v>
      </c>
      <c r="B24" s="20" t="str">
        <f>'Owners Info'!B26</f>
        <v>X T2 1021</v>
      </c>
      <c r="C24" s="20" t="str">
        <f>'Owners Info'!F26</f>
        <v>Michael Borro</v>
      </c>
      <c r="D24" s="20" t="str">
        <f>'Owners Info'!I26</f>
        <v>Fixed</v>
      </c>
      <c r="E24" s="26">
        <f>'Owners Info'!J26</f>
        <v>45107</v>
      </c>
      <c r="F24" s="26">
        <f>'Owners Info'!K26</f>
        <v>46203</v>
      </c>
      <c r="G24" s="28" t="str">
        <f>'Owners Info'!L26</f>
        <v>EXPIRED</v>
      </c>
      <c r="H24" s="28" t="str">
        <f>'Owners Info'!C26</f>
        <v>ACTIVE</v>
      </c>
      <c r="I24" s="28" t="str">
        <f>'Owners Info'!M26</f>
        <v/>
      </c>
      <c r="J24" s="27" t="str">
        <f>'Owners Info'!G26</f>
        <v/>
      </c>
      <c r="K24" s="15"/>
      <c r="L24" s="15">
        <v>24.0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6" t="str">
        <f>'Owners Info'!A27</f>
        <v>Avida Tower 2</v>
      </c>
      <c r="B25" s="39" t="str">
        <f>'Owners Info'!B27</f>
        <v>H2 T2 521</v>
      </c>
      <c r="C25" s="39" t="str">
        <f>'Owners Info'!F27</f>
        <v>Maria Rita Jardiolin</v>
      </c>
      <c r="D25" s="39" t="str">
        <f>'Owners Info'!I27</f>
        <v>Fixed</v>
      </c>
      <c r="E25" s="41">
        <f>'Owners Info'!J27</f>
        <v>45294</v>
      </c>
      <c r="F25" s="43" t="str">
        <f>'Owners Info'!K27</f>
        <v>MISSING</v>
      </c>
      <c r="G25" s="46" t="str">
        <f>'Owners Info'!L27</f>
        <v>?</v>
      </c>
      <c r="H25" s="46" t="str">
        <f>'Owners Info'!C27</f>
        <v>ACTIVE</v>
      </c>
      <c r="I25" s="46" t="str">
        <f>'Owners Info'!M27</f>
        <v/>
      </c>
      <c r="J25" s="43" t="str">
        <f>'Owners Info'!G27</f>
        <v>Ritaj241@yahoo.com</v>
      </c>
      <c r="K25" s="36"/>
      <c r="L25" s="36">
        <v>25.0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15" t="str">
        <f>'Owners Info'!A28</f>
        <v>Avida Tower 2</v>
      </c>
      <c r="B26" s="20" t="str">
        <f>'Owners Info'!B28</f>
        <v>Q2 T2 1221</v>
      </c>
      <c r="C26" s="20" t="str">
        <f>'Owners Info'!F28</f>
        <v>Maria Grace Puertollano</v>
      </c>
      <c r="D26" s="20" t="str">
        <f>'Owners Info'!I28</f>
        <v>Partnership</v>
      </c>
      <c r="E26" s="26" t="str">
        <f>'Owners Info'!J28</f>
        <v/>
      </c>
      <c r="F26" s="26" t="str">
        <f>'Owners Info'!K28</f>
        <v/>
      </c>
      <c r="G26" s="28" t="str">
        <f>'Owners Info'!L28</f>
        <v>INACTIVE</v>
      </c>
      <c r="H26" s="28" t="str">
        <f>'Owners Info'!C28</f>
        <v>INACTIVE</v>
      </c>
      <c r="I26" s="28" t="str">
        <f>'Owners Info'!M28</f>
        <v/>
      </c>
      <c r="J26" s="27" t="str">
        <f>'Owners Info'!G28</f>
        <v>graceuybico@gmail.com</v>
      </c>
      <c r="K26" s="15"/>
      <c r="L26" s="15">
        <v>26.0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36" t="str">
        <f>'Owners Info'!A29</f>
        <v>Avida Tower 2</v>
      </c>
      <c r="B27" s="39" t="str">
        <f>'Owners Info'!B29</f>
        <v>A T2 322</v>
      </c>
      <c r="C27" s="39" t="str">
        <f>'Owners Info'!F29</f>
        <v>Aaron James Sales</v>
      </c>
      <c r="D27" s="39" t="str">
        <f>'Owners Info'!I29</f>
        <v>85/15 Partner</v>
      </c>
      <c r="E27" s="41">
        <f>'Owners Info'!J29</f>
        <v>45729</v>
      </c>
      <c r="F27" s="41">
        <f>'Owners Info'!K29</f>
        <v>45821</v>
      </c>
      <c r="G27" s="46" t="str">
        <f>'Owners Info'!L29</f>
        <v>EXPIRED</v>
      </c>
      <c r="H27" s="46" t="str">
        <f>'Owners Info'!C29</f>
        <v>ACTIVE</v>
      </c>
      <c r="I27" s="46" t="str">
        <f>'Owners Info'!M29</f>
        <v/>
      </c>
      <c r="J27" s="43" t="str">
        <f>'Owners Info'!G29</f>
        <v>Aaronsales.j@gmail.com</v>
      </c>
      <c r="K27" s="36"/>
      <c r="L27" s="36">
        <v>27.0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15" t="str">
        <f>'Owners Info'!A30</f>
        <v>Avida Tower 2</v>
      </c>
      <c r="B28" s="20" t="str">
        <f>'Owners Info'!B30</f>
        <v># T2 209</v>
      </c>
      <c r="C28" s="20" t="str">
        <f>'Owners Info'!F30</f>
        <v>Fredilyn Samoro/Katrina Samoro</v>
      </c>
      <c r="D28" s="20" t="str">
        <f>'Owners Info'!I30</f>
        <v>85/15 Partner</v>
      </c>
      <c r="E28" s="26">
        <f>'Owners Info'!J30</f>
        <v>45769</v>
      </c>
      <c r="F28" s="26">
        <f>'Owners Info'!K30</f>
        <v>45961</v>
      </c>
      <c r="G28" s="28" t="str">
        <f>'Owners Info'!L30</f>
        <v>EXPIRED</v>
      </c>
      <c r="H28" s="28" t="str">
        <f>'Owners Info'!C30</f>
        <v>ACTIVE</v>
      </c>
      <c r="I28" s="28" t="str">
        <f>'Owners Info'!M30</f>
        <v/>
      </c>
      <c r="J28" s="27" t="str">
        <f>'Owners Info'!G30</f>
        <v/>
      </c>
      <c r="K28" s="15"/>
      <c r="L28" s="15">
        <v>28.0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36" t="str">
        <f>'Owners Info'!A31</f>
        <v>Avida Tower 3</v>
      </c>
      <c r="B29" s="39" t="str">
        <f>'Owners Info'!B31</f>
        <v>D2 T3 626</v>
      </c>
      <c r="C29" s="39" t="str">
        <f>'Owners Info'!F31</f>
        <v>Donnave Caramat</v>
      </c>
      <c r="D29" s="39" t="str">
        <f>'Owners Info'!I31</f>
        <v>Fixed</v>
      </c>
      <c r="E29" s="41">
        <f>'Owners Info'!J31</f>
        <v>45294</v>
      </c>
      <c r="F29" s="43" t="str">
        <f>'Owners Info'!K31</f>
        <v>MISSING</v>
      </c>
      <c r="G29" s="46" t="str">
        <f>'Owners Info'!L31</f>
        <v>?</v>
      </c>
      <c r="H29" s="46" t="str">
        <f>'Owners Info'!C31</f>
        <v>ACTIVE</v>
      </c>
      <c r="I29" s="46" t="str">
        <f>'Owners Info'!M31</f>
        <v/>
      </c>
      <c r="J29" s="43" t="str">
        <f>'Owners Info'!G31</f>
        <v>dgcaramat12@gmail.com</v>
      </c>
      <c r="K29" s="36"/>
      <c r="L29" s="36">
        <v>29.0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15" t="str">
        <f>'Owners Info'!A33</f>
        <v>Avida Tower 3</v>
      </c>
      <c r="B30" s="20" t="str">
        <f>'Owners Info'!B33</f>
        <v>I T3 725</v>
      </c>
      <c r="C30" s="20" t="str">
        <f>'Owners Info'!F33</f>
        <v>Mechelle Balasa Rey</v>
      </c>
      <c r="D30" s="20" t="str">
        <f>'Owners Info'!I33</f>
        <v>Fixed</v>
      </c>
      <c r="E30" s="26">
        <f>'Owners Info'!J33</f>
        <v>45070</v>
      </c>
      <c r="F30" s="27" t="str">
        <f>'Owners Info'!K33</f>
        <v>MISSING</v>
      </c>
      <c r="G30" s="28" t="str">
        <f>'Owners Info'!L33</f>
        <v>INACTIVE</v>
      </c>
      <c r="H30" s="28" t="str">
        <f>'Owners Info'!C33</f>
        <v>INACTIVE</v>
      </c>
      <c r="I30" s="28" t="str">
        <f>'Owners Info'!M33</f>
        <v/>
      </c>
      <c r="J30" s="27" t="str">
        <f>'Owners Info'!G33</f>
        <v>jayson12mendoza15@gmail.com</v>
      </c>
      <c r="K30" s="15"/>
      <c r="L30" s="15">
        <v>30.0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36" t="str">
        <f t="shared" ref="A31:J31" si="1">#REF!</f>
        <v>#REF!</v>
      </c>
      <c r="B31" s="39" t="str">
        <f t="shared" si="1"/>
        <v>#REF!</v>
      </c>
      <c r="C31" s="39" t="str">
        <f t="shared" si="1"/>
        <v>#REF!</v>
      </c>
      <c r="D31" s="39" t="str">
        <f t="shared" si="1"/>
        <v>#REF!</v>
      </c>
      <c r="E31" s="43" t="str">
        <f t="shared" si="1"/>
        <v>#REF!</v>
      </c>
      <c r="F31" s="43" t="str">
        <f t="shared" si="1"/>
        <v>#REF!</v>
      </c>
      <c r="G31" s="46" t="str">
        <f t="shared" si="1"/>
        <v>#REF!</v>
      </c>
      <c r="H31" s="46" t="str">
        <f t="shared" si="1"/>
        <v>#REF!</v>
      </c>
      <c r="I31" s="46" t="str">
        <f t="shared" si="1"/>
        <v>#REF!</v>
      </c>
      <c r="J31" s="43" t="str">
        <f t="shared" si="1"/>
        <v>#REF!</v>
      </c>
      <c r="K31" s="36"/>
      <c r="L31" s="36">
        <v>31.0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15" t="str">
        <f>'Owners Info'!A34</f>
        <v>Avida Tower 3</v>
      </c>
      <c r="B32" s="20" t="str">
        <f>'Owners Info'!B34</f>
        <v>B3 T3 1011</v>
      </c>
      <c r="C32" s="20" t="str">
        <f>'Owners Info'!F34</f>
        <v>Gutierrez Dev. Company</v>
      </c>
      <c r="D32" s="20" t="str">
        <f>'Owners Info'!I34</f>
        <v>75/25 Partner</v>
      </c>
      <c r="E32" s="26">
        <f>'Owners Info'!J34</f>
        <v>45611</v>
      </c>
      <c r="F32" s="27" t="str">
        <f>'Owners Info'!K34</f>
        <v>MISSING</v>
      </c>
      <c r="G32" s="28" t="str">
        <f>'Owners Info'!L34</f>
        <v>?</v>
      </c>
      <c r="H32" s="28" t="str">
        <f>'Owners Info'!C34</f>
        <v>ACTIVE</v>
      </c>
      <c r="I32" s="28" t="str">
        <f>'Owners Info'!M34</f>
        <v/>
      </c>
      <c r="J32" s="27" t="str">
        <f>'Owners Info'!G34</f>
        <v>gutierrezdevelopment@gmail.com</v>
      </c>
      <c r="K32" s="15"/>
      <c r="L32" s="15">
        <v>32.0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36" t="str">
        <f>'Owners Info'!A35</f>
        <v>Avida Tower 3</v>
      </c>
      <c r="B33" s="39" t="str">
        <f>'Owners Info'!B35</f>
        <v>W2 T3 207</v>
      </c>
      <c r="C33" s="39" t="str">
        <f>'Owners Info'!F35</f>
        <v>Pancho Bringas / Christine Magallanes</v>
      </c>
      <c r="D33" s="39" t="str">
        <f>'Owners Info'!I35</f>
        <v>Partnership</v>
      </c>
      <c r="E33" s="41">
        <f>'Owners Info'!J35</f>
        <v>45506</v>
      </c>
      <c r="F33" s="41">
        <f>'Owners Info'!K35</f>
        <v>45871</v>
      </c>
      <c r="G33" s="46" t="str">
        <f>'Owners Info'!L35</f>
        <v>EXPIRED</v>
      </c>
      <c r="H33" s="46" t="str">
        <f>'Owners Info'!C35</f>
        <v>ACTIVE</v>
      </c>
      <c r="I33" s="46" t="str">
        <f>'Owners Info'!M35</f>
        <v/>
      </c>
      <c r="J33" s="43" t="str">
        <f>'Owners Info'!G35</f>
        <v>Ceee_m@yahoo.com</v>
      </c>
      <c r="K33" s="36"/>
      <c r="L33" s="36">
        <v>33.0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15" t="str">
        <f>'Owners Info'!A36</f>
        <v>Avida Tower 3</v>
      </c>
      <c r="B34" s="20" t="str">
        <f>'Owners Info'!B36</f>
        <v>X2 T3 528</v>
      </c>
      <c r="C34" s="20" t="str">
        <f>'Owners Info'!F36</f>
        <v>Pancho Bringas / Christine Magallanes</v>
      </c>
      <c r="D34" s="20" t="str">
        <f>'Owners Info'!I36</f>
        <v>Partnership</v>
      </c>
      <c r="E34" s="26">
        <f>'Owners Info'!J36</f>
        <v>45506</v>
      </c>
      <c r="F34" s="26">
        <f>'Owners Info'!K36</f>
        <v>45871</v>
      </c>
      <c r="G34" s="28" t="str">
        <f>'Owners Info'!L36</f>
        <v>EXPIRED</v>
      </c>
      <c r="H34" s="28" t="str">
        <f>'Owners Info'!C36</f>
        <v>ACTIVE</v>
      </c>
      <c r="I34" s="28" t="str">
        <f>'Owners Info'!M36</f>
        <v/>
      </c>
      <c r="J34" s="27" t="str">
        <f>'Owners Info'!G36</f>
        <v>Ceee_m@yahoo.com</v>
      </c>
      <c r="K34" s="15"/>
      <c r="L34" s="15">
        <v>34.0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36" t="str">
        <f>'Owners Info'!A37</f>
        <v>Avida Tower 3</v>
      </c>
      <c r="B35" s="39" t="str">
        <f>'Owners Info'!B37</f>
        <v>Z2 T3 526</v>
      </c>
      <c r="C35" s="39" t="str">
        <f>'Owners Info'!F37</f>
        <v>Czarina Ngan</v>
      </c>
      <c r="D35" s="39" t="str">
        <f>'Owners Info'!I37</f>
        <v>85/15 Partner</v>
      </c>
      <c r="E35" s="41">
        <f>'Owners Info'!J37</f>
        <v>45769</v>
      </c>
      <c r="F35" s="41">
        <f>'Owners Info'!K37</f>
        <v>45869</v>
      </c>
      <c r="G35" s="46" t="str">
        <f>'Owners Info'!L37</f>
        <v>EXPIRED</v>
      </c>
      <c r="H35" s="46" t="str">
        <f>'Owners Info'!C37</f>
        <v>ACTIVE</v>
      </c>
      <c r="I35" s="46" t="str">
        <f>'Owners Info'!M37</f>
        <v/>
      </c>
      <c r="J35" s="43" t="str">
        <f>'Owners Info'!G37</f>
        <v>e43eee3esdwafcfvfcffvgvgrdcrxseexttfddfddz;;p-p-p=</v>
      </c>
      <c r="K35" s="36"/>
      <c r="L35" s="36">
        <v>35.0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15" t="str">
        <f>'Owners Info'!A38</f>
        <v>Avida Tower 3</v>
      </c>
      <c r="B36" s="20" t="str">
        <f>'Owners Info'!B38</f>
        <v>M2 T3 424</v>
      </c>
      <c r="C36" s="20" t="str">
        <f>'Owners Info'!F38</f>
        <v>Leyson San Juan</v>
      </c>
      <c r="D36" s="20" t="str">
        <f>'Owners Info'!I38</f>
        <v>Partnership</v>
      </c>
      <c r="E36" s="26">
        <f>'Owners Info'!J38</f>
        <v>45811</v>
      </c>
      <c r="F36" s="26">
        <f>'Owners Info'!K38</f>
        <v>46176</v>
      </c>
      <c r="G36" s="28" t="str">
        <f>'Owners Info'!L38</f>
        <v>EXPIRED</v>
      </c>
      <c r="H36" s="28" t="str">
        <f>'Owners Info'!C38</f>
        <v>ACTIVE</v>
      </c>
      <c r="I36" s="28" t="str">
        <f>'Owners Info'!M38</f>
        <v/>
      </c>
      <c r="J36" s="27" t="str">
        <f>'Owners Info'!G38</f>
        <v>leyson37@gmail.com</v>
      </c>
      <c r="K36" s="15"/>
      <c r="L36" s="15">
        <v>36.0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36" t="str">
        <f>'Owners Info'!A39</f>
        <v>Avida Tower 3</v>
      </c>
      <c r="B37" s="39" t="str">
        <f>'Owners Info'!B39</f>
        <v>N2 T3 426</v>
      </c>
      <c r="C37" s="39" t="str">
        <f>'Owners Info'!F39</f>
        <v>Leyson San Juan</v>
      </c>
      <c r="D37" s="39" t="str">
        <f>'Owners Info'!I39</f>
        <v>Partnership</v>
      </c>
      <c r="E37" s="41">
        <f>'Owners Info'!J39</f>
        <v>45811</v>
      </c>
      <c r="F37" s="41">
        <f>'Owners Info'!K39</f>
        <v>46176</v>
      </c>
      <c r="G37" s="46" t="str">
        <f>'Owners Info'!L39</f>
        <v>EXPIRED</v>
      </c>
      <c r="H37" s="46" t="str">
        <f>'Owners Info'!C39</f>
        <v>ACTIVE</v>
      </c>
      <c r="I37" s="46" t="str">
        <f>'Owners Info'!M39</f>
        <v/>
      </c>
      <c r="J37" s="43" t="str">
        <f>'Owners Info'!G39</f>
        <v>leyson37@gmail.com</v>
      </c>
      <c r="K37" s="36"/>
      <c r="L37" s="36">
        <v>37.0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15" t="str">
        <f>'Owners Info'!A40</f>
        <v>Avida Tower 3</v>
      </c>
      <c r="B38" s="20" t="str">
        <f>'Owners Info'!B40</f>
        <v>O2 T3 826</v>
      </c>
      <c r="C38" s="20" t="str">
        <f>'Owners Info'!F40</f>
        <v>Leyson San Juan</v>
      </c>
      <c r="D38" s="20" t="str">
        <f>'Owners Info'!I40</f>
        <v>Partnership</v>
      </c>
      <c r="E38" s="26">
        <f>'Owners Info'!J40</f>
        <v>45811</v>
      </c>
      <c r="F38" s="26">
        <f>'Owners Info'!K40</f>
        <v>46176</v>
      </c>
      <c r="G38" s="28" t="str">
        <f>'Owners Info'!L40</f>
        <v>EXPIRED</v>
      </c>
      <c r="H38" s="28" t="str">
        <f>'Owners Info'!C40</f>
        <v>ACTIVE</v>
      </c>
      <c r="I38" s="79" t="str">
        <f>'Owners Info'!M40</f>
        <v>AT T3 826 -  SAN JUAN (RENEWAL).pdf</v>
      </c>
      <c r="J38" s="27" t="str">
        <f>'Owners Info'!G40</f>
        <v>leyson37@gmail.com</v>
      </c>
      <c r="K38" s="15"/>
      <c r="L38" s="15">
        <v>38.0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36" t="str">
        <f>'Owners Info'!A41</f>
        <v>Avida Tower 4</v>
      </c>
      <c r="B39" s="39" t="str">
        <f>'Owners Info'!B41</f>
        <v>J2 T4 117</v>
      </c>
      <c r="C39" s="39" t="str">
        <f>'Owners Info'!F41</f>
        <v>Cherry Villa / Jeseryl Villa</v>
      </c>
      <c r="D39" s="39" t="str">
        <f>'Owners Info'!I41</f>
        <v>85/15 Partner</v>
      </c>
      <c r="E39" s="41">
        <f>'Owners Info'!J41</f>
        <v>45809</v>
      </c>
      <c r="F39" s="41">
        <f>'Owners Info'!K41</f>
        <v>46174</v>
      </c>
      <c r="G39" s="46" t="str">
        <f>'Owners Info'!L41</f>
        <v>EXPIRED</v>
      </c>
      <c r="H39" s="46" t="str">
        <f>'Owners Info'!C41</f>
        <v>ACTIVE</v>
      </c>
      <c r="I39" s="84" t="str">
        <f>'Owners Info'!M41</f>
        <v>AT T4 117 - PINK/VILLA.pdf</v>
      </c>
      <c r="J39" s="43" t="str">
        <f>'Owners Info'!G41</f>
        <v>kixmd@yahoo.com</v>
      </c>
      <c r="K39" s="36"/>
      <c r="L39" s="36">
        <v>39.0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15" t="str">
        <f>'Owners Info'!A42</f>
        <v>Bernwood Tower</v>
      </c>
      <c r="B40" s="20" t="str">
        <f>'Owners Info'!B42</f>
        <v>BT 1 1222</v>
      </c>
      <c r="C40" s="20" t="str">
        <f>'Owners Info'!F42</f>
        <v>Ruth Santisteban Serrato</v>
      </c>
      <c r="D40" s="20" t="str">
        <f>'Owners Info'!I42</f>
        <v>Partnership</v>
      </c>
      <c r="E40" s="26">
        <f>'Owners Info'!J42</f>
        <v>45748</v>
      </c>
      <c r="F40" s="26">
        <f>'Owners Info'!K42</f>
        <v>45930</v>
      </c>
      <c r="G40" s="28" t="str">
        <f>'Owners Info'!L42</f>
        <v>EXPIRED</v>
      </c>
      <c r="H40" s="28" t="str">
        <f>'Owners Info'!C42</f>
        <v>ACTIVE</v>
      </c>
      <c r="I40" s="28" t="str">
        <f>'Owners Info'!M42</f>
        <v/>
      </c>
      <c r="J40" s="27" t="str">
        <f>'Owners Info'!G42</f>
        <v>ruthserrato@yahoo.com</v>
      </c>
      <c r="K40" s="15"/>
      <c r="L40" s="15">
        <v>40.0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6" t="str">
        <f>'Owners Info'!A43</f>
        <v>Lafayette</v>
      </c>
      <c r="B41" s="39" t="str">
        <f>'Owners Info'!B43</f>
        <v>6 LPS 16S</v>
      </c>
      <c r="C41" s="39" t="str">
        <f>'Owners Info'!F43</f>
        <v>Christine Ladigohon</v>
      </c>
      <c r="D41" s="39" t="str">
        <f>'Owners Info'!I43</f>
        <v>Partnership</v>
      </c>
      <c r="E41" s="41">
        <f>'Owners Info'!J43</f>
        <v>45800</v>
      </c>
      <c r="F41" s="41">
        <f>'Owners Info'!K43</f>
        <v>46349</v>
      </c>
      <c r="G41" s="46">
        <f>'Owners Info'!L43</f>
        <v>88</v>
      </c>
      <c r="H41" s="46" t="str">
        <f>'Owners Info'!C43</f>
        <v>ACTIVE</v>
      </c>
      <c r="I41" s="127" t="str">
        <f>'Owners Info'!M43</f>
        <v>LPS 16S - LADIGOHON.pdf</v>
      </c>
      <c r="J41" s="43" t="str">
        <f>'Owners Info'!G43</f>
        <v>christineladigohon@gmail.com</v>
      </c>
      <c r="K41" s="36"/>
      <c r="L41" s="36">
        <v>41.0</v>
      </c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15" t="str">
        <f>'Owners Info'!A44</f>
        <v>Lafayette</v>
      </c>
      <c r="B42" s="20" t="str">
        <f>'Owners Info'!B44</f>
        <v>42 LPS 5E </v>
      </c>
      <c r="C42" s="20" t="str">
        <f>'Owners Info'!F44</f>
        <v>Mary Jean Bearneza</v>
      </c>
      <c r="D42" s="20" t="str">
        <f>'Owners Info'!I44</f>
        <v>85/15 Partner</v>
      </c>
      <c r="E42" s="26">
        <f>'Owners Info'!J44</f>
        <v>45805</v>
      </c>
      <c r="F42" s="26">
        <f>'Owners Info'!K44</f>
        <v>46170</v>
      </c>
      <c r="G42" s="28" t="str">
        <f>'Owners Info'!L44</f>
        <v>EXPIRED</v>
      </c>
      <c r="H42" s="28" t="str">
        <f>'Owners Info'!C44</f>
        <v>ACTIVE</v>
      </c>
      <c r="I42" s="133" t="str">
        <f>'Owners Info'!M44</f>
        <v>LPS 5E - BEARNEZA.pdf</v>
      </c>
      <c r="J42" s="27" t="str">
        <f>'Owners Info'!G44</f>
        <v>cornerhome99@gmail.com</v>
      </c>
      <c r="K42" s="15"/>
      <c r="L42" s="15">
        <v>42.0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36" t="str">
        <f>'Owners Info'!A45</f>
        <v>Lafayette</v>
      </c>
      <c r="B43" s="39" t="str">
        <f>'Owners Info'!B45</f>
        <v>25 LPS 8S</v>
      </c>
      <c r="C43" s="39" t="str">
        <f>'Owners Info'!F45</f>
        <v>Julius Jacomille</v>
      </c>
      <c r="D43" s="39" t="str">
        <f>'Owners Info'!I45</f>
        <v>75/25 Partner</v>
      </c>
      <c r="E43" s="41">
        <f>'Owners Info'!J45</f>
        <v>45579</v>
      </c>
      <c r="F43" s="41">
        <f>'Owners Info'!K45</f>
        <v>45944</v>
      </c>
      <c r="G43" s="46" t="str">
        <f>'Owners Info'!L45</f>
        <v>EXPIRED</v>
      </c>
      <c r="H43" s="46" t="str">
        <f>'Owners Info'!C45</f>
        <v>ACTIVE</v>
      </c>
      <c r="I43" s="84" t="str">
        <f>'Owners Info'!M45</f>
        <v>25 LPS 8S - JACOMILLE.pdf</v>
      </c>
      <c r="J43" s="43" t="str">
        <f>'Owners Info'!G45</f>
        <v>rentwithus.abc@gmail.com</v>
      </c>
      <c r="K43" s="36"/>
      <c r="L43" s="36">
        <v>43.0</v>
      </c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15" t="str">
        <f>'Owners Info'!A46</f>
        <v>Lafayette</v>
      </c>
      <c r="B44" s="20" t="str">
        <f>'Owners Info'!B46</f>
        <v>18 LPS 9R</v>
      </c>
      <c r="C44" s="20" t="str">
        <f>'Owners Info'!F46</f>
        <v>Risty Durbin</v>
      </c>
      <c r="D44" s="20" t="str">
        <f>'Owners Info'!I46</f>
        <v>Partnership</v>
      </c>
      <c r="E44" s="26">
        <f>'Owners Info'!J46</f>
        <v>45531</v>
      </c>
      <c r="F44" s="26">
        <f>'Owners Info'!K46</f>
        <v>45896</v>
      </c>
      <c r="G44" s="28" t="str">
        <f>'Owners Info'!L46</f>
        <v>EXPIRED</v>
      </c>
      <c r="H44" s="28" t="str">
        <f>'Owners Info'!C46</f>
        <v>ACTIVE</v>
      </c>
      <c r="I44" s="79" t="str">
        <f>'Owners Info'!M46</f>
        <v>18 LPS 9R - DURBIN.pdf</v>
      </c>
      <c r="J44" s="27" t="str">
        <f>'Owners Info'!G46</f>
        <v>ristyd@yahoo.com</v>
      </c>
      <c r="K44" s="15"/>
      <c r="L44" s="15">
        <v>44.0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36" t="str">
        <f>'Owners Info'!A47</f>
        <v>Lafayette</v>
      </c>
      <c r="B45" s="39" t="str">
        <f>'Owners Info'!B47</f>
        <v>24 LPS 9PQ</v>
      </c>
      <c r="C45" s="39" t="str">
        <f>'Owners Info'!F47</f>
        <v>Risty Durbin</v>
      </c>
      <c r="D45" s="39" t="str">
        <f>'Owners Info'!I47</f>
        <v>Partnership</v>
      </c>
      <c r="E45" s="41">
        <f>'Owners Info'!J47</f>
        <v>45566</v>
      </c>
      <c r="F45" s="41">
        <f>'Owners Info'!K47</f>
        <v>45931</v>
      </c>
      <c r="G45" s="46" t="str">
        <f>'Owners Info'!L47</f>
        <v>EXPIRED</v>
      </c>
      <c r="H45" s="46" t="str">
        <f>'Owners Info'!C47</f>
        <v>ACTIVE</v>
      </c>
      <c r="I45" s="84" t="str">
        <f>'Owners Info'!M47</f>
        <v>24 LPS 9PQ - DURBIN.pdf</v>
      </c>
      <c r="J45" s="43" t="str">
        <f>'Owners Info'!G47</f>
        <v>ristyd@yahoo.com</v>
      </c>
      <c r="K45" s="36"/>
      <c r="L45" s="36">
        <v>45.0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15" t="str">
        <f>'Owners Info'!A48</f>
        <v>Lafayette</v>
      </c>
      <c r="B46" s="20" t="str">
        <f>'Owners Info'!B48</f>
        <v>22 LPS 8J</v>
      </c>
      <c r="C46" s="20" t="str">
        <f>'Owners Info'!F48</f>
        <v>Adonis Zapanta</v>
      </c>
      <c r="D46" s="20" t="str">
        <f>'Owners Info'!I48</f>
        <v>Partnership</v>
      </c>
      <c r="E46" s="26">
        <f>'Owners Info'!J48</f>
        <v>45531</v>
      </c>
      <c r="F46" s="26">
        <f>'Owners Info'!K48</f>
        <v>45896</v>
      </c>
      <c r="G46" s="28" t="str">
        <f>'Owners Info'!L48</f>
        <v>EXPIRED</v>
      </c>
      <c r="H46" s="28" t="str">
        <f>'Owners Info'!C48</f>
        <v>ACTIVE</v>
      </c>
      <c r="I46" s="79" t="str">
        <f>'Owners Info'!M48</f>
        <v>22 LPS 8J -ZAPANTA.pdf</v>
      </c>
      <c r="J46" s="27" t="str">
        <f>'Owners Info'!G48</f>
        <v>dimple_email2@yahoo.com</v>
      </c>
      <c r="K46" s="15"/>
      <c r="L46" s="15">
        <v>46.0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36" t="str">
        <f>'Owners Info'!A49</f>
        <v>Lafayette</v>
      </c>
      <c r="B47" s="39" t="str">
        <f>'Owners Info'!B49</f>
        <v>34 LPS 5Z</v>
      </c>
      <c r="C47" s="39" t="str">
        <f>'Owners Info'!F49</f>
        <v>Maria Emily Belicena</v>
      </c>
      <c r="D47" s="39" t="str">
        <f>'Owners Info'!I49</f>
        <v>Partnership</v>
      </c>
      <c r="E47" s="41">
        <f>'Owners Info'!J49</f>
        <v>45707</v>
      </c>
      <c r="F47" s="41">
        <f>'Owners Info'!K49</f>
        <v>46010</v>
      </c>
      <c r="G47" s="46" t="str">
        <f>'Owners Info'!L49</f>
        <v>EXPIRED</v>
      </c>
      <c r="H47" s="46" t="str">
        <f>'Owners Info'!C49</f>
        <v>ACTIVE</v>
      </c>
      <c r="I47" s="84" t="str">
        <f>'Owners Info'!M49</f>
        <v>34 LPS 5Z - BELICENA.pdf</v>
      </c>
      <c r="J47" s="43" t="str">
        <f>'Owners Info'!G49</f>
        <v>emilybelicena@gmail.com</v>
      </c>
      <c r="K47" s="36"/>
      <c r="L47" s="36">
        <v>47.0</v>
      </c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15" t="str">
        <f>'Owners Info'!A50</f>
        <v>Lafayette</v>
      </c>
      <c r="B48" s="20" t="str">
        <f>'Owners Info'!B50</f>
        <v>35 LPS 5Y</v>
      </c>
      <c r="C48" s="20" t="str">
        <f>'Owners Info'!F50</f>
        <v>Maria Emily Belicena</v>
      </c>
      <c r="D48" s="20" t="str">
        <f>'Owners Info'!I50</f>
        <v>Partnership</v>
      </c>
      <c r="E48" s="26">
        <f>'Owners Info'!J50</f>
        <v>45707</v>
      </c>
      <c r="F48" s="26">
        <f>'Owners Info'!K50</f>
        <v>46010</v>
      </c>
      <c r="G48" s="28" t="str">
        <f>'Owners Info'!L50</f>
        <v>EXPIRED</v>
      </c>
      <c r="H48" s="28" t="str">
        <f>'Owners Info'!C50</f>
        <v>ACTIVE</v>
      </c>
      <c r="I48" s="79" t="str">
        <f>'Owners Info'!M50</f>
        <v>35 LPS 5Y - BELICENA.pdf</v>
      </c>
      <c r="J48" s="27" t="str">
        <f>'Owners Info'!G50</f>
        <v>emilybelicena@gmail.com</v>
      </c>
      <c r="K48" s="15"/>
      <c r="L48" s="15">
        <v>48.0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36" t="str">
        <f>'Owners Info'!A51</f>
        <v>Lafayette</v>
      </c>
      <c r="B49" s="39" t="str">
        <f>'Owners Info'!B51</f>
        <v>5 LPS 16T</v>
      </c>
      <c r="C49" s="39" t="str">
        <f>'Owners Info'!F51</f>
        <v>Esther Palmares</v>
      </c>
      <c r="D49" s="39" t="str">
        <f>'Owners Info'!I51</f>
        <v>Partnership</v>
      </c>
      <c r="E49" s="41">
        <f>'Owners Info'!J51</f>
        <v>45670</v>
      </c>
      <c r="F49" s="41">
        <f>'Owners Info'!K51</f>
        <v>46035</v>
      </c>
      <c r="G49" s="46" t="str">
        <f>'Owners Info'!L51</f>
        <v>EXPIRED</v>
      </c>
      <c r="H49" s="46" t="str">
        <f>'Owners Info'!C51</f>
        <v>ACTIVE</v>
      </c>
      <c r="I49" s="84" t="str">
        <f>'Owners Info'!M51</f>
        <v>LPS 16T - PALMARES.pdf</v>
      </c>
      <c r="J49" s="43" t="str">
        <f>'Owners Info'!G51</f>
        <v>Esjoyp@aol.com</v>
      </c>
      <c r="K49" s="36"/>
      <c r="L49" s="36">
        <v>49.0</v>
      </c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15" t="str">
        <f>'Owners Info'!A52</f>
        <v>Lafayette</v>
      </c>
      <c r="B50" s="20" t="str">
        <f>'Owners Info'!B52</f>
        <v>16 LPS 15X</v>
      </c>
      <c r="C50" s="20" t="str">
        <f>'Owners Info'!F52</f>
        <v>Euniel Solinap</v>
      </c>
      <c r="D50" s="20" t="str">
        <f>'Owners Info'!I52</f>
        <v>Partnership</v>
      </c>
      <c r="E50" s="26">
        <f>'Owners Info'!J52</f>
        <v>45635</v>
      </c>
      <c r="F50" s="26">
        <f>'Owners Info'!K52</f>
        <v>45874</v>
      </c>
      <c r="G50" s="28" t="str">
        <f>'Owners Info'!L52</f>
        <v>EXPIRED</v>
      </c>
      <c r="H50" s="28" t="str">
        <f>'Owners Info'!C52</f>
        <v>ACTIVE</v>
      </c>
      <c r="I50" s="79" t="str">
        <f>'Owners Info'!M52</f>
        <v>16 LPS 15X - SOLINAP.pdf</v>
      </c>
      <c r="J50" s="27" t="str">
        <f>'Owners Info'!G52</f>
        <v>euniel.md@gmail.com</v>
      </c>
      <c r="K50" s="15"/>
      <c r="L50" s="15">
        <v>50.0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36" t="str">
        <f>'Owners Info'!A53</f>
        <v>Lafayette</v>
      </c>
      <c r="B51" s="39" t="str">
        <f>'Owners Info'!B53</f>
        <v>15 LPS 10-O</v>
      </c>
      <c r="C51" s="39" t="str">
        <f>'Owners Info'!F53</f>
        <v>Michael Limsiaco</v>
      </c>
      <c r="D51" s="39" t="str">
        <f>'Owners Info'!I53</f>
        <v>Partnership</v>
      </c>
      <c r="E51" s="41">
        <f>'Owners Info'!J53</f>
        <v>45503</v>
      </c>
      <c r="F51" s="41">
        <f>'Owners Info'!K53</f>
        <v>45868</v>
      </c>
      <c r="G51" s="46" t="str">
        <f>'Owners Info'!L53</f>
        <v>EXPIRED</v>
      </c>
      <c r="H51" s="46" t="str">
        <f>'Owners Info'!C53</f>
        <v>ACTIVE</v>
      </c>
      <c r="I51" s="84" t="str">
        <f>'Owners Info'!M53</f>
        <v>15 LPS 10-O - LIMSIACO.pdf</v>
      </c>
      <c r="J51" s="43" t="str">
        <f>'Owners Info'!G53</f>
        <v>limsiacomichael@yahoo.com</v>
      </c>
      <c r="K51" s="36"/>
      <c r="L51" s="36">
        <v>51.0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15" t="str">
        <f>'Owners Info'!A54</f>
        <v>One Madison</v>
      </c>
      <c r="B52" s="20" t="str">
        <f>'Owners Info'!B54</f>
        <v>41 OMP T3 10K</v>
      </c>
      <c r="C52" s="20" t="str">
        <f>'Owners Info'!F54</f>
        <v>Ibrahim Khalilullah Maricar / Marny Ringo</v>
      </c>
      <c r="D52" s="20" t="str">
        <f>'Owners Info'!I54</f>
        <v>Partnership</v>
      </c>
      <c r="E52" s="26">
        <f>'Owners Info'!J54</f>
        <v>45778</v>
      </c>
      <c r="F52" s="26">
        <f>'Owners Info'!K54</f>
        <v>46143</v>
      </c>
      <c r="G52" s="28" t="str">
        <f>'Owners Info'!L54</f>
        <v>EXPIRED</v>
      </c>
      <c r="H52" s="28" t="str">
        <f>'Owners Info'!C54</f>
        <v>ACTIVE</v>
      </c>
      <c r="I52" s="79" t="str">
        <f>'Owners Info'!M54</f>
        <v>OMP T3 10K - MARICAR/RINGO</v>
      </c>
      <c r="J52" s="27" t="str">
        <f>'Owners Info'!G54</f>
        <v>ibrahimmaricar@outlook.com</v>
      </c>
      <c r="K52" s="15"/>
      <c r="L52" s="15">
        <v>52.0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36" t="str">
        <f>'Owners Info'!A55</f>
        <v>One Madison</v>
      </c>
      <c r="B53" s="39" t="str">
        <f>'Owners Info'!B55</f>
        <v>45 OMP T2 9L</v>
      </c>
      <c r="C53" s="39" t="str">
        <f>'Owners Info'!F55</f>
        <v>Ross Lim</v>
      </c>
      <c r="D53" s="39" t="str">
        <f>'Owners Info'!I55</f>
        <v>85/15 Partner</v>
      </c>
      <c r="E53" s="41">
        <f>'Owners Info'!J55</f>
        <v>45835</v>
      </c>
      <c r="F53" s="41">
        <f>'Owners Info'!K55</f>
        <v>46199</v>
      </c>
      <c r="G53" s="46" t="str">
        <f>'Owners Info'!L55</f>
        <v>EXPIRED</v>
      </c>
      <c r="H53" s="46" t="str">
        <f>'Owners Info'!C55</f>
        <v>ACTIVE</v>
      </c>
      <c r="I53" s="84" t="str">
        <f>'Owners Info'!M55</f>
        <v>45 OMP T2 9L.pdf</v>
      </c>
      <c r="J53" s="43" t="str">
        <f>'Owners Info'!G55</f>
        <v>rosslim07@gmail.com</v>
      </c>
      <c r="K53" s="36"/>
      <c r="L53" s="36">
        <v>53.0</v>
      </c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15" t="str">
        <f>'Owners Info'!A56</f>
        <v>One Madison</v>
      </c>
      <c r="B54" s="20" t="str">
        <f>'Owners Info'!B56</f>
        <v>3 OMP T3 10-O</v>
      </c>
      <c r="C54" s="20" t="str">
        <f>'Owners Info'!F56</f>
        <v>Cynthia Mansueto</v>
      </c>
      <c r="D54" s="20" t="str">
        <f>'Owners Info'!I56</f>
        <v>Partnership</v>
      </c>
      <c r="E54" s="26">
        <f>'Owners Info'!J56</f>
        <v>45624</v>
      </c>
      <c r="F54" s="26">
        <f>'Owners Info'!K56</f>
        <v>45989</v>
      </c>
      <c r="G54" s="28" t="str">
        <f>'Owners Info'!L56</f>
        <v>EXPIRED</v>
      </c>
      <c r="H54" s="28" t="str">
        <f>'Owners Info'!C56</f>
        <v>ACTIVE</v>
      </c>
      <c r="I54" s="28" t="str">
        <f>'Owners Info'!M56</f>
        <v/>
      </c>
      <c r="J54" s="27" t="str">
        <f>'Owners Info'!G56</f>
        <v>cynthiamansueto@yahoo.com.ph</v>
      </c>
      <c r="K54" s="15"/>
      <c r="L54" s="15">
        <v>54.0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36" t="str">
        <f>'Owners Info'!A57</f>
        <v>One Madison</v>
      </c>
      <c r="B55" s="39" t="str">
        <f>'Owners Info'!B57</f>
        <v>32 OMP T3 10E</v>
      </c>
      <c r="C55" s="39" t="str">
        <f>'Owners Info'!F57</f>
        <v>Hyacinth Faraon</v>
      </c>
      <c r="D55" s="39" t="str">
        <f>'Owners Info'!I57</f>
        <v>Partnership</v>
      </c>
      <c r="E55" s="41">
        <f>'Owners Info'!J57</f>
        <v>45673</v>
      </c>
      <c r="F55" s="41">
        <f>'Owners Info'!K57</f>
        <v>46038</v>
      </c>
      <c r="G55" s="46" t="str">
        <f>'Owners Info'!L57</f>
        <v>EXPIRED</v>
      </c>
      <c r="H55" s="46" t="str">
        <f>'Owners Info'!C57</f>
        <v>ACTIVE</v>
      </c>
      <c r="I55" s="84" t="str">
        <f>'Owners Info'!M57</f>
        <v>32 OMP T3 10E - FARAON.pdf</v>
      </c>
      <c r="J55" s="43" t="str">
        <f>'Owners Info'!G57</f>
        <v>Hyacinth.9@hotmail.com</v>
      </c>
      <c r="K55" s="36"/>
      <c r="L55" s="36">
        <v>55.0</v>
      </c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15" t="str">
        <f>'Owners Info'!A58</f>
        <v>One Madison</v>
      </c>
      <c r="B56" s="20" t="str">
        <f>'Owners Info'!B58</f>
        <v>2 OMP T1 8D</v>
      </c>
      <c r="C56" s="20" t="str">
        <f>'Owners Info'!F58</f>
        <v>Maja Armonio</v>
      </c>
      <c r="D56" s="20" t="str">
        <f>'Owners Info'!I58</f>
        <v>Partnership</v>
      </c>
      <c r="E56" s="26">
        <f>'Owners Info'!J58</f>
        <v>45525</v>
      </c>
      <c r="F56" s="26">
        <f>'Owners Info'!K58</f>
        <v>45890</v>
      </c>
      <c r="G56" s="28" t="str">
        <f>'Owners Info'!L58</f>
        <v>EXPIRED</v>
      </c>
      <c r="H56" s="28" t="str">
        <f>'Owners Info'!C58</f>
        <v>ACTIVE</v>
      </c>
      <c r="I56" s="28" t="str">
        <f>'Owners Info'!M58</f>
        <v/>
      </c>
      <c r="J56" s="27" t="str">
        <f>'Owners Info'!G58</f>
        <v>airbnbaccou@gmail.com</v>
      </c>
      <c r="K56" s="15"/>
      <c r="L56" s="15">
        <v>56.0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36" t="str">
        <f>'Owners Info'!A59</f>
        <v>One Madison</v>
      </c>
      <c r="B57" s="39" t="str">
        <f>'Owners Info'!B59</f>
        <v>28 OMP T3 5M</v>
      </c>
      <c r="C57" s="39" t="str">
        <f>'Owners Info'!F59</f>
        <v>Cynthia Mansueto</v>
      </c>
      <c r="D57" s="39" t="str">
        <f>'Owners Info'!I59</f>
        <v>Partnership</v>
      </c>
      <c r="E57" s="41">
        <f>'Owners Info'!J59</f>
        <v>45624</v>
      </c>
      <c r="F57" s="41">
        <f>'Owners Info'!K59</f>
        <v>45989</v>
      </c>
      <c r="G57" s="46" t="str">
        <f>'Owners Info'!L59</f>
        <v>EXPIRED</v>
      </c>
      <c r="H57" s="46" t="str">
        <f>'Owners Info'!C59</f>
        <v>ACTIVE</v>
      </c>
      <c r="I57" s="84" t="str">
        <f>'Owners Info'!M59</f>
        <v>28 OMP T3 5M - MANSUETO.pdf</v>
      </c>
      <c r="J57" s="43" t="str">
        <f>'Owners Info'!G59</f>
        <v>cynthiamansueto@yahoo.com.ph</v>
      </c>
      <c r="K57" s="36"/>
      <c r="L57" s="36">
        <v>57.0</v>
      </c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15" t="str">
        <f>'Owners Info'!A60</f>
        <v>One Madison</v>
      </c>
      <c r="B58" s="20" t="str">
        <f>'Owners Info'!B60</f>
        <v>11 OMP T2 5P </v>
      </c>
      <c r="C58" s="20" t="str">
        <f>'Owners Info'!F60</f>
        <v>Ernestine Valle</v>
      </c>
      <c r="D58" s="20" t="str">
        <f>'Owners Info'!I60</f>
        <v>Partnership</v>
      </c>
      <c r="E58" s="26">
        <f>'Owners Info'!J60</f>
        <v>45627</v>
      </c>
      <c r="F58" s="26">
        <f>'Owners Info'!K60</f>
        <v>45809</v>
      </c>
      <c r="G58" s="28" t="str">
        <f>'Owners Info'!L60</f>
        <v>EXPIRED</v>
      </c>
      <c r="H58" s="28" t="str">
        <f>'Owners Info'!C60</f>
        <v>ACTIVE</v>
      </c>
      <c r="I58" s="79" t="str">
        <f>'Owners Info'!M60</f>
        <v>11 OMP T2 5P - VALLE.pdf</v>
      </c>
      <c r="J58" s="27" t="str">
        <f>'Owners Info'!G60</f>
        <v>enitsenrevalle@gmail.com</v>
      </c>
      <c r="K58" s="15"/>
      <c r="L58" s="15">
        <v>58.0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36" t="str">
        <f>'Owners Info'!A61</f>
        <v>One Madison</v>
      </c>
      <c r="B59" s="39" t="str">
        <f>'Owners Info'!B61</f>
        <v>`1`123wwassdfdxdx dxcxcvxcvc vbvx cvb987yt6432qw1</v>
      </c>
      <c r="C59" s="39" t="str">
        <f>'Owners Info'!F61</f>
        <v>Hyacinth Faraon</v>
      </c>
      <c r="D59" s="39" t="str">
        <f>'Owners Info'!I61</f>
        <v>Fixed</v>
      </c>
      <c r="E59" s="41">
        <f>'Owners Info'!J61</f>
        <v>45524</v>
      </c>
      <c r="F59" s="41">
        <f>'Owners Info'!K61</f>
        <v>45889</v>
      </c>
      <c r="G59" s="46" t="str">
        <f>'Owners Info'!L61</f>
        <v>EXPIRED</v>
      </c>
      <c r="H59" s="46" t="str">
        <f>'Owners Info'!C61</f>
        <v/>
      </c>
      <c r="I59" s="84" t="str">
        <f>'Owners Info'!M61</f>
        <v>20 OMP T1 9S - FARAON.pdf</v>
      </c>
      <c r="J59" s="43" t="str">
        <f>'Owners Info'!G61</f>
        <v>Hyacinth.9@hotmail.com</v>
      </c>
      <c r="K59" s="36"/>
      <c r="L59" s="36">
        <v>59.0</v>
      </c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15" t="str">
        <f>'Owners Info'!A62</f>
        <v>One Madison</v>
      </c>
      <c r="B60" s="20" t="str">
        <f>'Owners Info'!B62</f>
        <v>38 OMP T1 9N</v>
      </c>
      <c r="C60" s="20" t="str">
        <f>'Owners Info'!F62</f>
        <v>Maria Nelia Elvias</v>
      </c>
      <c r="D60" s="20" t="str">
        <f>'Owners Info'!I62</f>
        <v>Partnership</v>
      </c>
      <c r="E60" s="26">
        <f>'Owners Info'!J62</f>
        <v>45738</v>
      </c>
      <c r="F60" s="26">
        <f>'Owners Info'!K62</f>
        <v>45922</v>
      </c>
      <c r="G60" s="28" t="str">
        <f>'Owners Info'!L62</f>
        <v>EXPIRED</v>
      </c>
      <c r="H60" s="28" t="str">
        <f>'Owners Info'!C62</f>
        <v>ACTIVE</v>
      </c>
      <c r="I60" s="79" t="str">
        <f>'Owners Info'!M62</f>
        <v>38 OMP T1 9N - ELVIAS.pdf</v>
      </c>
      <c r="J60" s="27" t="str">
        <f>'Owners Info'!G62</f>
        <v>kemonel2015@gmail.com</v>
      </c>
      <c r="K60" s="15"/>
      <c r="L60" s="15">
        <v>60.0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36" t="str">
        <f>'Owners Info'!A63</f>
        <v>One Madison</v>
      </c>
      <c r="B61" s="39" t="str">
        <f>'Owners Info'!B63</f>
        <v>27 OMP T3 5N</v>
      </c>
      <c r="C61" s="39" t="str">
        <f>'Owners Info'!F63</f>
        <v>Ellen Lacson</v>
      </c>
      <c r="D61" s="39" t="str">
        <f>'Owners Info'!I63</f>
        <v>Partnership</v>
      </c>
      <c r="E61" s="41">
        <f>'Owners Info'!J63</f>
        <v>45612</v>
      </c>
      <c r="F61" s="41">
        <f>'Owners Info'!K63</f>
        <v>45977</v>
      </c>
      <c r="G61" s="46" t="str">
        <f>'Owners Info'!L63</f>
        <v>EXPIRED</v>
      </c>
      <c r="H61" s="46" t="str">
        <f>'Owners Info'!C63</f>
        <v>ACTIVE</v>
      </c>
      <c r="I61" s="84" t="str">
        <f>'Owners Info'!M63</f>
        <v>27 OMP T3 5N - LACSON.pdf</v>
      </c>
      <c r="J61" s="43" t="str">
        <f>'Owners Info'!G63</f>
        <v>lacselle08@gmail.com</v>
      </c>
      <c r="K61" s="36"/>
      <c r="L61" s="36">
        <v>61.0</v>
      </c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15" t="str">
        <f>'Owners Info'!A64</f>
        <v>One Madison</v>
      </c>
      <c r="B62" s="20" t="str">
        <f>'Owners Info'!B64</f>
        <v>40 OMP T1 7U</v>
      </c>
      <c r="C62" s="20" t="str">
        <f>'Owners Info'!F64</f>
        <v>Millicent Tiu</v>
      </c>
      <c r="D62" s="20" t="str">
        <f>'Owners Info'!I64</f>
        <v/>
      </c>
      <c r="E62" s="26" t="str">
        <f>'Owners Info'!J64</f>
        <v/>
      </c>
      <c r="F62" s="26" t="str">
        <f>'Owners Info'!K64</f>
        <v/>
      </c>
      <c r="G62" s="28" t="str">
        <f>'Owners Info'!L64</f>
        <v/>
      </c>
      <c r="H62" s="28" t="str">
        <f>'Owners Info'!C64</f>
        <v>ACTIVE</v>
      </c>
      <c r="I62" s="28" t="str">
        <f>'Owners Info'!M64</f>
        <v/>
      </c>
      <c r="J62" s="27" t="str">
        <f>'Owners Info'!G64</f>
        <v>millicent.sy.tiu@gmail.com</v>
      </c>
      <c r="K62" s="15"/>
      <c r="L62" s="15">
        <v>62.0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36" t="str">
        <f>'Owners Info'!A65</f>
        <v>One Madison</v>
      </c>
      <c r="B63" s="39" t="str">
        <f>'Owners Info'!B65</f>
        <v>19 OMP T1 4E</v>
      </c>
      <c r="C63" s="39" t="str">
        <f>'Owners Info'!F65</f>
        <v>Robert Javellana</v>
      </c>
      <c r="D63" s="39" t="str">
        <f>'Owners Info'!I65</f>
        <v>Partnership</v>
      </c>
      <c r="E63" s="41">
        <f>'Owners Info'!J65</f>
        <v>45533</v>
      </c>
      <c r="F63" s="41">
        <f>'Owners Info'!K65</f>
        <v>45898</v>
      </c>
      <c r="G63" s="46" t="str">
        <f>'Owners Info'!L65</f>
        <v>EXPIRED</v>
      </c>
      <c r="H63" s="46" t="str">
        <f>'Owners Info'!C65</f>
        <v>ACTIVE</v>
      </c>
      <c r="I63" s="84" t="str">
        <f>'Owners Info'!M65</f>
        <v>19 OMP T1 4E - JAVELLANA.pdf</v>
      </c>
      <c r="J63" s="43" t="str">
        <f>'Owners Info'!G65</f>
        <v>rjjavellana67@yahoo.com</v>
      </c>
      <c r="K63" s="36"/>
      <c r="L63" s="36">
        <v>63.0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15" t="str">
        <f>'Owners Info'!A66</f>
        <v>One Madison</v>
      </c>
      <c r="B64" s="20" t="str">
        <f>'Owners Info'!B66</f>
        <v>31 OMP T2 4B</v>
      </c>
      <c r="C64" s="20" t="str">
        <f>'Owners Info'!F66</f>
        <v>Rodel Alimpoyo</v>
      </c>
      <c r="D64" s="20" t="str">
        <f>'Owners Info'!I66</f>
        <v>Partnership</v>
      </c>
      <c r="E64" s="26">
        <f>'Owners Info'!J66</f>
        <v>45639</v>
      </c>
      <c r="F64" s="26">
        <f>'Owners Info'!K66</f>
        <v>46004</v>
      </c>
      <c r="G64" s="28" t="str">
        <f>'Owners Info'!L66</f>
        <v>EXPIRED</v>
      </c>
      <c r="H64" s="28" t="str">
        <f>'Owners Info'!C66</f>
        <v>ACTIVE</v>
      </c>
      <c r="I64" s="79" t="str">
        <f>'Owners Info'!M66</f>
        <v>31 OMP T2 4B - ALIMPOYO.pdf</v>
      </c>
      <c r="J64" s="27" t="str">
        <f>'Owners Info'!G66</f>
        <v>rodel5alimpoyo@yahoo.com.ph</v>
      </c>
      <c r="K64" s="15"/>
      <c r="L64" s="15">
        <v>64.0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36" t="str">
        <f>'Owners Info'!A67</f>
        <v>One Madison</v>
      </c>
      <c r="B65" s="39" t="str">
        <f>'Owners Info'!B67</f>
        <v>12 OMP T3 9K</v>
      </c>
      <c r="C65" s="39" t="str">
        <f>'Owners Info'!F67</f>
        <v>Chris Tan</v>
      </c>
      <c r="D65" s="39" t="str">
        <f>'Owners Info'!I67</f>
        <v>Partnership</v>
      </c>
      <c r="E65" s="41">
        <f>'Owners Info'!J67</f>
        <v>45446</v>
      </c>
      <c r="F65" s="41">
        <f>'Owners Info'!K67</f>
        <v>45811</v>
      </c>
      <c r="G65" s="46" t="str">
        <f>'Owners Info'!L67</f>
        <v>EXPIRED</v>
      </c>
      <c r="H65" s="46" t="str">
        <f>'Owners Info'!C67</f>
        <v>ACTIVE</v>
      </c>
      <c r="I65" s="84" t="str">
        <f>'Owners Info'!M67</f>
        <v>12 OMP T3 9K - TAN.pdf</v>
      </c>
      <c r="J65" s="43" t="str">
        <f>'Owners Info'!G67</f>
        <v>tan_albert71@yahoo.com</v>
      </c>
      <c r="K65" s="36"/>
      <c r="L65" s="36">
        <v>65.0</v>
      </c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15" t="str">
        <f>'Owners Info'!A68</f>
        <v>One Spatial</v>
      </c>
      <c r="B66" s="20" t="str">
        <f>'Owners Info'!B68</f>
        <v>OS 4 1316</v>
      </c>
      <c r="C66" s="20" t="str">
        <f>'Owners Info'!F68</f>
        <v>Ramona Beck</v>
      </c>
      <c r="D66" s="20" t="str">
        <f>'Owners Info'!I68</f>
        <v>Partnership</v>
      </c>
      <c r="E66" s="26">
        <f>'Owners Info'!J68</f>
        <v>45635</v>
      </c>
      <c r="F66" s="26">
        <f>'Owners Info'!K68</f>
        <v>46000</v>
      </c>
      <c r="G66" s="28" t="str">
        <f>'Owners Info'!L68</f>
        <v>EXPIRED</v>
      </c>
      <c r="H66" s="28" t="str">
        <f>'Owners Info'!C68</f>
        <v>ACTIVE</v>
      </c>
      <c r="I66" s="28" t="str">
        <f>'Owners Info'!M68</f>
        <v/>
      </c>
      <c r="J66" s="27" t="str">
        <f>'Owners Info'!G68</f>
        <v>mona_beck2001@yahoo.com</v>
      </c>
      <c r="K66" s="15"/>
      <c r="L66" s="15">
        <v>66.0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36" t="str">
        <f>'Owners Info'!A69</f>
        <v>One Spatial</v>
      </c>
      <c r="B67" s="39" t="str">
        <f>'Owners Info'!B69</f>
        <v>OS 5 1318</v>
      </c>
      <c r="C67" s="39" t="str">
        <f>'Owners Info'!F69</f>
        <v>Ramona Beck</v>
      </c>
      <c r="D67" s="39" t="str">
        <f>'Owners Info'!I69</f>
        <v>Partnership</v>
      </c>
      <c r="E67" s="41">
        <f>'Owners Info'!J69</f>
        <v>45635</v>
      </c>
      <c r="F67" s="41">
        <f>'Owners Info'!K69</f>
        <v>46000</v>
      </c>
      <c r="G67" s="46" t="str">
        <f>'Owners Info'!L69</f>
        <v>EXPIRED</v>
      </c>
      <c r="H67" s="46" t="str">
        <f>'Owners Info'!C69</f>
        <v>ACTIVE</v>
      </c>
      <c r="I67" s="46" t="str">
        <f>'Owners Info'!M69</f>
        <v/>
      </c>
      <c r="J67" s="43" t="str">
        <f>'Owners Info'!G69</f>
        <v>mona_beck2001@yahoo.com</v>
      </c>
      <c r="K67" s="36"/>
      <c r="L67" s="36">
        <v>67.0</v>
      </c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15" t="str">
        <f>'Owners Info'!A70</f>
        <v>One Spatial</v>
      </c>
      <c r="B68" s="20" t="str">
        <f>'Owners Info'!B70</f>
        <v>OS 2 1327</v>
      </c>
      <c r="C68" s="20" t="str">
        <f>'Owners Info'!F70</f>
        <v>Gaudelyn Delfin</v>
      </c>
      <c r="D68" s="20" t="str">
        <f>'Owners Info'!I70</f>
        <v>Partnership</v>
      </c>
      <c r="E68" s="26">
        <f>'Owners Info'!J70</f>
        <v>45553</v>
      </c>
      <c r="F68" s="26">
        <f>'Owners Info'!K70</f>
        <v>45918</v>
      </c>
      <c r="G68" s="28" t="str">
        <f>'Owners Info'!L70</f>
        <v>EXPIRED</v>
      </c>
      <c r="H68" s="28" t="str">
        <f>'Owners Info'!C70</f>
        <v>ACTIVE</v>
      </c>
      <c r="I68" s="28" t="str">
        <f>'Owners Info'!M70</f>
        <v/>
      </c>
      <c r="J68" s="27" t="str">
        <f>'Owners Info'!G70</f>
        <v>gaudelfin23@gmail.com</v>
      </c>
      <c r="K68" s="15"/>
      <c r="L68" s="15">
        <v>68.0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36" t="str">
        <f>'Owners Info'!A71</f>
        <v>One Spatial</v>
      </c>
      <c r="B69" s="39" t="str">
        <f>'Owners Info'!B71</f>
        <v>OS 6 2505</v>
      </c>
      <c r="C69" s="39" t="str">
        <f>'Owners Info'!F71</f>
        <v>Charmaine Villareal</v>
      </c>
      <c r="D69" s="39" t="str">
        <f>'Owners Info'!I71</f>
        <v>Partnership</v>
      </c>
      <c r="E69" s="41">
        <f>'Owners Info'!J71</f>
        <v>45661</v>
      </c>
      <c r="F69" s="41">
        <f>'Owners Info'!K71</f>
        <v>46026</v>
      </c>
      <c r="G69" s="46" t="str">
        <f>'Owners Info'!L71</f>
        <v>EXPIRED</v>
      </c>
      <c r="H69" s="46" t="str">
        <f>'Owners Info'!C71</f>
        <v>ACTIVE</v>
      </c>
      <c r="I69" s="84" t="str">
        <f>'Owners Info'!M71</f>
        <v>OS 6 2505 - VILLAREAL.pdf</v>
      </c>
      <c r="J69" s="43" t="str">
        <f>'Owners Info'!G71</f>
        <v>chavillareal2017@gmail.com</v>
      </c>
      <c r="K69" s="36"/>
      <c r="L69" s="36">
        <v>69.0</v>
      </c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15" t="str">
        <f>'Owners Info'!A72</f>
        <v>People's Hotel</v>
      </c>
      <c r="B70" s="20" t="str">
        <f>'Owners Info'!B72</f>
        <v>PC A 511</v>
      </c>
      <c r="C70" s="20" t="str">
        <f>'Owners Info'!F72</f>
        <v>Bryan So</v>
      </c>
      <c r="D70" s="20" t="str">
        <f>'Owners Info'!I72</f>
        <v>Fixed</v>
      </c>
      <c r="E70" s="26" t="str">
        <f>'Owners Info'!J72</f>
        <v/>
      </c>
      <c r="F70" s="26" t="str">
        <f>'Owners Info'!K72</f>
        <v/>
      </c>
      <c r="G70" s="28" t="str">
        <f>'Owners Info'!L72</f>
        <v/>
      </c>
      <c r="H70" s="28" t="str">
        <f>'Owners Info'!C72</f>
        <v>ACTIVE</v>
      </c>
      <c r="I70" s="28" t="str">
        <f>'Owners Info'!M72</f>
        <v/>
      </c>
      <c r="J70" s="27" t="str">
        <f>'Owners Info'!G72</f>
        <v>Btls@gmail.com</v>
      </c>
      <c r="K70" s="15"/>
      <c r="L70" s="15">
        <v>70.0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36" t="str">
        <f>'Owners Info'!A73</f>
        <v>People's Hotel</v>
      </c>
      <c r="B71" s="39" t="str">
        <f>'Owners Info'!B73</f>
        <v>PC B 512</v>
      </c>
      <c r="C71" s="39" t="str">
        <f>'Owners Info'!F73</f>
        <v>Bryan So</v>
      </c>
      <c r="D71" s="39" t="str">
        <f>'Owners Info'!I73</f>
        <v>Fixed</v>
      </c>
      <c r="E71" s="41" t="str">
        <f>'Owners Info'!J73</f>
        <v/>
      </c>
      <c r="F71" s="41" t="str">
        <f>'Owners Info'!K73</f>
        <v/>
      </c>
      <c r="G71" s="46" t="str">
        <f>'Owners Info'!L73</f>
        <v/>
      </c>
      <c r="H71" s="46" t="str">
        <f>'Owners Info'!C73</f>
        <v>ACTIVE</v>
      </c>
      <c r="I71" s="46" t="str">
        <f>'Owners Info'!M73</f>
        <v/>
      </c>
      <c r="J71" s="43" t="str">
        <f>'Owners Info'!G73</f>
        <v>Btls@gmail.com</v>
      </c>
      <c r="K71" s="36"/>
      <c r="L71" s="36">
        <v>71.0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15" t="str">
        <f>'Owners Info'!A74</f>
        <v>Saint Dominique</v>
      </c>
      <c r="B72" s="20" t="str">
        <f>'Owners Info'!B74</f>
        <v>37 SD NW 5F</v>
      </c>
      <c r="C72" s="20" t="str">
        <f>'Owners Info'!F74</f>
        <v>Ibrahim Khalilullah Maricar / Marny Ringo</v>
      </c>
      <c r="D72" s="20" t="str">
        <f>'Owners Info'!I74</f>
        <v>Partnership</v>
      </c>
      <c r="E72" s="26">
        <f>'Owners Info'!J74</f>
        <v>45716</v>
      </c>
      <c r="F72" s="26">
        <f>'Owners Info'!K74</f>
        <v>46081</v>
      </c>
      <c r="G72" s="28" t="str">
        <f>'Owners Info'!L74</f>
        <v>EXPIRED</v>
      </c>
      <c r="H72" s="28" t="str">
        <f>'Owners Info'!C74</f>
        <v>ACTIVE</v>
      </c>
      <c r="I72" s="79" t="str">
        <f>'Owners Info'!M74</f>
        <v>37 SD NW 5F - MARICAR.pdf</v>
      </c>
      <c r="J72" s="27" t="str">
        <f>'Owners Info'!G74</f>
        <v>ibrahim.maricar@outlook.com</v>
      </c>
      <c r="K72" s="15"/>
      <c r="L72" s="15">
        <v>72.0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36" t="str">
        <f>'Owners Info'!A75</f>
        <v>Saint Dominique</v>
      </c>
      <c r="B73" s="39" t="str">
        <f>'Owners Info'!B75</f>
        <v>30 SD NW 8B</v>
      </c>
      <c r="C73" s="39" t="str">
        <f>'Owners Info'!F75</f>
        <v>Anjo Diansay</v>
      </c>
      <c r="D73" s="39" t="str">
        <f>'Owners Info'!I75</f>
        <v>Partnership</v>
      </c>
      <c r="E73" s="41">
        <f>'Owners Info'!J75</f>
        <v>45245</v>
      </c>
      <c r="F73" s="43" t="str">
        <f>'Owners Info'!K75</f>
        <v>MISSING</v>
      </c>
      <c r="G73" s="46" t="str">
        <f>'Owners Info'!L75</f>
        <v>?</v>
      </c>
      <c r="H73" s="46" t="str">
        <f>'Owners Info'!C75</f>
        <v>ACTIVE</v>
      </c>
      <c r="I73" s="46" t="str">
        <f>'Owners Info'!M75</f>
        <v/>
      </c>
      <c r="J73" s="43" t="str">
        <f>'Owners Info'!G75</f>
        <v>anjo.diansay47@gmail.com</v>
      </c>
      <c r="K73" s="36"/>
      <c r="L73" s="36">
        <v>73.0</v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15" t="str">
        <f>'Owners Info'!A76</f>
        <v>Saint Dominique</v>
      </c>
      <c r="B74" s="20" t="str">
        <f>'Owners Info'!B76</f>
        <v>33 SD SW 7I</v>
      </c>
      <c r="C74" s="20" t="str">
        <f>'Owners Info'!F76</f>
        <v>Joe Geronca</v>
      </c>
      <c r="D74" s="20" t="str">
        <f>'Owners Info'!I76</f>
        <v>Partnership</v>
      </c>
      <c r="E74" s="26">
        <f>'Owners Info'!J76</f>
        <v>45673</v>
      </c>
      <c r="F74" s="26">
        <f>'Owners Info'!K76</f>
        <v>46038</v>
      </c>
      <c r="G74" s="28" t="str">
        <f>'Owners Info'!L76</f>
        <v>EXPIRED</v>
      </c>
      <c r="H74" s="28" t="str">
        <f>'Owners Info'!C76</f>
        <v>ACTIVE</v>
      </c>
      <c r="I74" s="28" t="str">
        <f>'Owners Info'!M76</f>
        <v/>
      </c>
      <c r="J74" s="27" t="str">
        <f>'Owners Info'!G76</f>
        <v>jadgeronca@gmail.com</v>
      </c>
      <c r="K74" s="15"/>
      <c r="L74" s="15">
        <v>74.0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36" t="str">
        <f>'Owners Info'!A77</f>
        <v>Saint Dominique</v>
      </c>
      <c r="B75" s="39" t="str">
        <f>'Owners Info'!B77</f>
        <v>23 SD SW 8C</v>
      </c>
      <c r="C75" s="39" t="str">
        <f>'Owners Info'!F77</f>
        <v>Maricel Hoy</v>
      </c>
      <c r="D75" s="39" t="str">
        <f>'Owners Info'!I77</f>
        <v>85/15 Partner</v>
      </c>
      <c r="E75" s="41">
        <f>'Owners Info'!J77</f>
        <v>45791</v>
      </c>
      <c r="F75" s="41">
        <f>'Owners Info'!K77</f>
        <v>46156</v>
      </c>
      <c r="G75" s="46" t="str">
        <f>'Owners Info'!L77</f>
        <v>EXPIRED</v>
      </c>
      <c r="H75" s="46" t="str">
        <f>'Owners Info'!C77</f>
        <v>ACTIVE</v>
      </c>
      <c r="I75" s="84" t="str">
        <f>'Owners Info'!M77</f>
        <v>SD SW 8C - HOY .pdf</v>
      </c>
      <c r="J75" s="43" t="str">
        <f>'Owners Info'!G77</f>
        <v>maricelhoy@yahoo.com</v>
      </c>
      <c r="K75" s="36"/>
      <c r="L75" s="36">
        <v>75.0</v>
      </c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15" t="str">
        <f>'Owners Info'!A78</f>
        <v>Saint Dominique</v>
      </c>
      <c r="B76" s="20" t="str">
        <f>'Owners Info'!B78</f>
        <v>7 SD SW 9G</v>
      </c>
      <c r="C76" s="20" t="str">
        <f>'Owners Info'!F78</f>
        <v>Noah Montenegro</v>
      </c>
      <c r="D76" s="20" t="str">
        <f>'Owners Info'!I78</f>
        <v>Partnership</v>
      </c>
      <c r="E76" s="26">
        <f>'Owners Info'!J78</f>
        <v>45737</v>
      </c>
      <c r="F76" s="26">
        <f>'Owners Info'!K78</f>
        <v>46102</v>
      </c>
      <c r="G76" s="28" t="str">
        <f>'Owners Info'!L78</f>
        <v>EXPIRED</v>
      </c>
      <c r="H76" s="28" t="str">
        <f>'Owners Info'!C78</f>
        <v>ACTIVE</v>
      </c>
      <c r="I76" s="28" t="str">
        <f>'Owners Info'!M78</f>
        <v/>
      </c>
      <c r="J76" s="27" t="str">
        <f>'Owners Info'!G78</f>
        <v>noahmontenegro@optimum.net</v>
      </c>
      <c r="K76" s="15"/>
      <c r="L76" s="15">
        <v>76.0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36" t="str">
        <f>'Owners Info'!A79</f>
        <v>Saint Dominique</v>
      </c>
      <c r="B77" s="39" t="str">
        <f>'Owners Info'!B79</f>
        <v>29 SD SW 3I</v>
      </c>
      <c r="C77" s="39" t="str">
        <f>#REF!</f>
        <v>#REF!</v>
      </c>
      <c r="D77" s="39" t="str">
        <f>'Owners Info'!I79</f>
        <v>Partnership</v>
      </c>
      <c r="E77" s="41">
        <f>'Owners Info'!J79</f>
        <v>45818</v>
      </c>
      <c r="F77" s="41">
        <f>'Owners Info'!K79</f>
        <v>46183</v>
      </c>
      <c r="G77" s="46" t="str">
        <f>'Owners Info'!L79</f>
        <v>EXPIRED</v>
      </c>
      <c r="H77" s="46" t="str">
        <f>'Owners Info'!C79</f>
        <v>ACTIVE</v>
      </c>
      <c r="I77" s="84" t="str">
        <f>'Owners Info'!M79</f>
        <v>SD SW 3I - MATORRES.pdf</v>
      </c>
      <c r="J77" s="43" t="str">
        <f>'Owners Info'!G79</f>
        <v>preciousfematorres@gmail.com</v>
      </c>
      <c r="K77" s="36"/>
      <c r="L77" s="36">
        <v>77.0</v>
      </c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15" t="str">
        <f>'Owners Info'!A80</f>
        <v>Saint Honore</v>
      </c>
      <c r="B78" s="20" t="str">
        <f>'Owners Info'!B80</f>
        <v>43 SH NW 5T </v>
      </c>
      <c r="C78" s="20" t="str">
        <f>'Owners Info'!F79</f>
        <v>Ma Precious Fe Matorres</v>
      </c>
      <c r="D78" s="20" t="str">
        <f>'Owners Info'!I80</f>
        <v>85/15 Partner</v>
      </c>
      <c r="E78" s="26">
        <f>'Owners Info'!J80</f>
        <v>45805</v>
      </c>
      <c r="F78" s="26">
        <f>'Owners Info'!K80</f>
        <v>46170</v>
      </c>
      <c r="G78" s="28" t="str">
        <f>'Owners Info'!L80</f>
        <v>EXPIRED</v>
      </c>
      <c r="H78" s="28" t="str">
        <f>'Owners Info'!C80</f>
        <v>ACTIVE</v>
      </c>
      <c r="I78" s="79" t="str">
        <f>'Owners Info'!M80</f>
        <v>SH NW 5T - BEARNEZA.pdf</v>
      </c>
      <c r="J78" s="27" t="str">
        <f>'Owners Info'!G80</f>
        <v>cornerhome99@gmail.com</v>
      </c>
      <c r="K78" s="15"/>
      <c r="L78" s="15">
        <v>78.0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36" t="str">
        <f>'Owners Info'!A81</f>
        <v>Saint Honore</v>
      </c>
      <c r="B79" s="39" t="str">
        <f>'Owners Info'!B81</f>
        <v>26 SH SW 7G</v>
      </c>
      <c r="C79" s="39" t="str">
        <f>'Owners Info'!F81</f>
        <v>Julius Jacomille</v>
      </c>
      <c r="D79" s="39" t="str">
        <f>'Owners Info'!I81</f>
        <v>75/25 Partner</v>
      </c>
      <c r="E79" s="41">
        <f>'Owners Info'!J81</f>
        <v>45579</v>
      </c>
      <c r="F79" s="41">
        <f>'Owners Info'!K81</f>
        <v>45944</v>
      </c>
      <c r="G79" s="46" t="str">
        <f>'Owners Info'!L81</f>
        <v>EXPIRED</v>
      </c>
      <c r="H79" s="46" t="str">
        <f>'Owners Info'!C81</f>
        <v>ACTIVE</v>
      </c>
      <c r="I79" s="84" t="str">
        <f>'Owners Info'!M81</f>
        <v>26 SH SW 7G - JACOMILLE.pdf</v>
      </c>
      <c r="J79" s="43" t="str">
        <f>'Owners Info'!G81</f>
        <v>rentwithus.abc@gmail.com</v>
      </c>
      <c r="K79" s="36"/>
      <c r="L79" s="36">
        <v>79.0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15" t="str">
        <f>'Owners Info'!A82</f>
        <v>Saint Honore</v>
      </c>
      <c r="B80" s="20" t="str">
        <f>'Owners Info'!B82</f>
        <v>6 SH SW 5J</v>
      </c>
      <c r="C80" s="20" t="str">
        <f>'Owners Info'!F82</f>
        <v>Lilanie Young</v>
      </c>
      <c r="D80" s="20" t="str">
        <f>'Owners Info'!I82</f>
        <v>Partnership</v>
      </c>
      <c r="E80" s="26">
        <f>'Owners Info'!J82</f>
        <v>45456</v>
      </c>
      <c r="F80" s="26">
        <f>'Owners Info'!K82</f>
        <v>45821</v>
      </c>
      <c r="G80" s="28" t="str">
        <f>'Owners Info'!L82</f>
        <v>INACTIVE</v>
      </c>
      <c r="H80" s="28" t="str">
        <f>'Owners Info'!C82</f>
        <v>INACTIVE</v>
      </c>
      <c r="I80" s="79" t="str">
        <f>'Owners Info'!M82</f>
        <v>6 SH SW 5J - YOUNG.pdf</v>
      </c>
      <c r="J80" s="27" t="str">
        <f>'Owners Info'!G82</f>
        <v>lilanieyoung@gmail.com</v>
      </c>
      <c r="K80" s="15"/>
      <c r="L80" s="15">
        <v>80.0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36" t="str">
        <f>'Owners Info'!A83</f>
        <v>Saint Honore</v>
      </c>
      <c r="B81" s="39" t="str">
        <f>'Owners Info'!B83</f>
        <v>21 SH NW 6A</v>
      </c>
      <c r="C81" s="39" t="str">
        <f>'Owners Info'!F83</f>
        <v>Ernesto Tuvida</v>
      </c>
      <c r="D81" s="39" t="str">
        <f>'Owners Info'!I83</f>
        <v>Partnership</v>
      </c>
      <c r="E81" s="41">
        <f>'Owners Info'!J83</f>
        <v>45730</v>
      </c>
      <c r="F81" s="41">
        <f>'Owners Info'!K83</f>
        <v>45914</v>
      </c>
      <c r="G81" s="46" t="str">
        <f>'Owners Info'!L83</f>
        <v>EXPIRED</v>
      </c>
      <c r="H81" s="46" t="str">
        <f>'Owners Info'!C83</f>
        <v>ACTIVE</v>
      </c>
      <c r="I81" s="84" t="str">
        <f>'Owners Info'!M83</f>
        <v>21 SH NW 6A - TUVIDA.pdf</v>
      </c>
      <c r="J81" s="43" t="str">
        <f>'Owners Info'!G83</f>
        <v>hjameprestosa@yahoo.com</v>
      </c>
      <c r="K81" s="36"/>
      <c r="L81" s="36">
        <v>81.0</v>
      </c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15" t="str">
        <f>'Owners Info'!A84</f>
        <v>Saint Honore</v>
      </c>
      <c r="B82" s="20" t="str">
        <f>'Owners Info'!B84</f>
        <v>1 SH NW 8C</v>
      </c>
      <c r="C82" s="20" t="str">
        <f>'Owners Info'!F84</f>
        <v>Jan Cupid Musa</v>
      </c>
      <c r="D82" s="20" t="str">
        <f>'Owners Info'!I84</f>
        <v>Partnership</v>
      </c>
      <c r="E82" s="26">
        <f>'Owners Info'!J84</f>
        <v>45758</v>
      </c>
      <c r="F82" s="26">
        <f>'Owners Info'!K84</f>
        <v>46123</v>
      </c>
      <c r="G82" s="28" t="str">
        <f>'Owners Info'!L84</f>
        <v>EXPIRED</v>
      </c>
      <c r="H82" s="28" t="str">
        <f>'Owners Info'!C84</f>
        <v>ACTIVE</v>
      </c>
      <c r="I82" s="79" t="str">
        <f>'Owners Info'!M84</f>
        <v>1 SH NW 8C - MUSA.pdf</v>
      </c>
      <c r="J82" s="27" t="str">
        <f>'Owners Info'!G84</f>
        <v>jancupidmusa@gmail.com</v>
      </c>
      <c r="K82" s="15"/>
      <c r="L82" s="15">
        <v>82.0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36" t="str">
        <f>'Owners Info'!A85</f>
        <v>SMDC</v>
      </c>
      <c r="B83" s="39" t="str">
        <f>'Owners Info'!B85</f>
        <v>SM 12 BB 515</v>
      </c>
      <c r="C83" s="39" t="str">
        <f>'Owners Info'!F85</f>
        <v>Ariel Sandoy / Thessa Sandoy</v>
      </c>
      <c r="D83" s="39" t="str">
        <f>'Owners Info'!I85</f>
        <v>85/15 Partner</v>
      </c>
      <c r="E83" s="41" t="str">
        <f>'Owners Info'!J85</f>
        <v/>
      </c>
      <c r="F83" s="41" t="str">
        <f>'Owners Info'!K85</f>
        <v/>
      </c>
      <c r="G83" s="46" t="str">
        <f>'Owners Info'!L85</f>
        <v/>
      </c>
      <c r="H83" s="46" t="str">
        <f>'Owners Info'!C85</f>
        <v>ACTIVE</v>
      </c>
      <c r="I83" s="46" t="str">
        <f>'Owners Info'!M85</f>
        <v/>
      </c>
      <c r="J83" s="43" t="str">
        <f>'Owners Info'!G85</f>
        <v>asandoy82@gmail.com / geneselat@gmail.com</v>
      </c>
      <c r="K83" s="36"/>
      <c r="L83" s="36">
        <v>83.0</v>
      </c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15" t="str">
        <f>'Owners Info'!A86</f>
        <v>SMDC</v>
      </c>
      <c r="B84" s="20" t="str">
        <f>'Owners Info'!B86</f>
        <v>SM 2 BA 215</v>
      </c>
      <c r="C84" s="20" t="str">
        <f>'Owners Info'!F86</f>
        <v>Sweden Louise Wu</v>
      </c>
      <c r="D84" s="20" t="str">
        <f>'Owners Info'!I86</f>
        <v>Partnership</v>
      </c>
      <c r="E84" s="26">
        <f>'Owners Info'!J86</f>
        <v>45505</v>
      </c>
      <c r="F84" s="26">
        <f>'Owners Info'!K86</f>
        <v>45870</v>
      </c>
      <c r="G84" s="28" t="str">
        <f>'Owners Info'!L86</f>
        <v>EXPIRED</v>
      </c>
      <c r="H84" s="28" t="str">
        <f>'Owners Info'!C86</f>
        <v>ACTIVE</v>
      </c>
      <c r="I84" s="79" t="str">
        <f>'Owners Info'!M86</f>
        <v>SM 2 BA 215 - WU.pdf</v>
      </c>
      <c r="J84" s="27" t="str">
        <f>'Owners Info'!G86</f>
        <v>swedenwu07@gmail.com</v>
      </c>
      <c r="K84" s="15"/>
      <c r="L84" s="15">
        <v>84.0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36" t="str">
        <f>'Owners Info'!A87</f>
        <v>SMDC</v>
      </c>
      <c r="B85" s="39" t="str">
        <f>'Owners Info'!B87</f>
        <v>SM 7 BA 509</v>
      </c>
      <c r="C85" s="39" t="str">
        <f>'Owners Info'!F87</f>
        <v>Evangeline Figueroa Uy</v>
      </c>
      <c r="D85" s="39" t="str">
        <f>'Owners Info'!I87</f>
        <v>Partnership</v>
      </c>
      <c r="E85" s="41" t="str">
        <f>'Owners Info'!J87</f>
        <v/>
      </c>
      <c r="F85" s="41" t="str">
        <f>'Owners Info'!K87</f>
        <v/>
      </c>
      <c r="G85" s="46" t="str">
        <f>'Owners Info'!L87</f>
        <v/>
      </c>
      <c r="H85" s="46" t="str">
        <f>'Owners Info'!C87</f>
        <v>ACTIVE</v>
      </c>
      <c r="I85" s="46" t="str">
        <f>'Owners Info'!M87</f>
        <v/>
      </c>
      <c r="J85" s="43" t="str">
        <f>'Owners Info'!G87</f>
        <v>vangie_257@yahoo.com</v>
      </c>
      <c r="K85" s="36"/>
      <c r="L85" s="36">
        <v>85.0</v>
      </c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15" t="str">
        <f>'Owners Info'!A88</f>
        <v>SMDC</v>
      </c>
      <c r="B86" s="20" t="str">
        <f>'Owners Info'!B88</f>
        <v>SM 8 BA 1115</v>
      </c>
      <c r="C86" s="20" t="str">
        <f>'Owners Info'!F88</f>
        <v>April Kaoli Mayordomo</v>
      </c>
      <c r="D86" s="20" t="str">
        <f>'Owners Info'!I88</f>
        <v>Fixed</v>
      </c>
      <c r="E86" s="26" t="str">
        <f>'Owners Info'!J88</f>
        <v/>
      </c>
      <c r="F86" s="26" t="str">
        <f>'Owners Info'!K88</f>
        <v/>
      </c>
      <c r="G86" s="28" t="str">
        <f>'Owners Info'!L88</f>
        <v/>
      </c>
      <c r="H86" s="28" t="str">
        <f>'Owners Info'!C88</f>
        <v>ACTIVE</v>
      </c>
      <c r="I86" s="28" t="str">
        <f>'Owners Info'!M88</f>
        <v/>
      </c>
      <c r="J86" s="27" t="str">
        <f>'Owners Info'!G88</f>
        <v>n/a</v>
      </c>
      <c r="K86" s="15"/>
      <c r="L86" s="15">
        <v>86.0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36" t="str">
        <f>'Owners Info'!A89</f>
        <v>SMDC</v>
      </c>
      <c r="B87" s="39" t="str">
        <f>'Owners Info'!B89</f>
        <v>SM 5 BA 1425</v>
      </c>
      <c r="C87" s="39" t="str">
        <f>'Owners Info'!F89</f>
        <v>Irish Deysolong</v>
      </c>
      <c r="D87" s="39" t="str">
        <f>'Owners Info'!I89</f>
        <v/>
      </c>
      <c r="E87" s="41" t="str">
        <f>'Owners Info'!J89</f>
        <v/>
      </c>
      <c r="F87" s="41" t="str">
        <f>'Owners Info'!K89</f>
        <v/>
      </c>
      <c r="G87" s="46" t="str">
        <f>'Owners Info'!L89</f>
        <v>INACTIVE</v>
      </c>
      <c r="H87" s="46" t="str">
        <f>'Owners Info'!C89</f>
        <v>INACTIVE</v>
      </c>
      <c r="I87" s="84" t="str">
        <f>'Owners Info'!M89</f>
        <v>SM 5 BA 1425 - DEYSOLONG.pdf</v>
      </c>
      <c r="J87" s="43" t="str">
        <f>'Owners Info'!G89</f>
        <v>irishdeysolong523@gmail.com</v>
      </c>
      <c r="K87" s="36"/>
      <c r="L87" s="36">
        <v>87.0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15" t="str">
        <f>'Owners Info'!A90</f>
        <v>SMDC</v>
      </c>
      <c r="B88" s="20" t="str">
        <f>'Owners Info'!B90</f>
        <v>SM 3 BA 401</v>
      </c>
      <c r="C88" s="20" t="str">
        <f>'Owners Info'!F90</f>
        <v>Janette Jarabata</v>
      </c>
      <c r="D88" s="20" t="str">
        <f>'Owners Info'!I90</f>
        <v>Partnership</v>
      </c>
      <c r="E88" s="26">
        <f>'Owners Info'!J90</f>
        <v>45581</v>
      </c>
      <c r="F88" s="26">
        <f>'Owners Info'!K90</f>
        <v>45763</v>
      </c>
      <c r="G88" s="28" t="str">
        <f>'Owners Info'!L90</f>
        <v>INACTIVE</v>
      </c>
      <c r="H88" s="28" t="str">
        <f>'Owners Info'!C90</f>
        <v>INACTIVE</v>
      </c>
      <c r="I88" s="79" t="str">
        <f>'Owners Info'!M90</f>
        <v>SM 3 BA 401 - JARABATA.pdf</v>
      </c>
      <c r="J88" s="27" t="str">
        <f>'Owners Info'!G90</f>
        <v>janettejarabata84@gmail.com</v>
      </c>
      <c r="K88" s="15"/>
      <c r="L88" s="15">
        <v>88.0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36" t="str">
        <f>'Owners Info'!A91</f>
        <v>SMDC</v>
      </c>
      <c r="B89" s="39" t="str">
        <f>'Owners Info'!B91</f>
        <v>SM 1 BA 1510</v>
      </c>
      <c r="C89" s="39" t="str">
        <f>'Owners Info'!F91</f>
        <v>Jeanne Bell Ferrer</v>
      </c>
      <c r="D89" s="39" t="str">
        <f>'Owners Info'!I91</f>
        <v>Partnership</v>
      </c>
      <c r="E89" s="41">
        <f>'Owners Info'!J91</f>
        <v>45502</v>
      </c>
      <c r="F89" s="41">
        <f>'Owners Info'!K91</f>
        <v>45867</v>
      </c>
      <c r="G89" s="46" t="str">
        <f>'Owners Info'!L91</f>
        <v>EXPIRED</v>
      </c>
      <c r="H89" s="46" t="str">
        <f>'Owners Info'!C91</f>
        <v>ACTIVE</v>
      </c>
      <c r="I89" s="46" t="str">
        <f>'Owners Info'!M91</f>
        <v/>
      </c>
      <c r="J89" s="43" t="str">
        <f>'Owners Info'!G91</f>
        <v>jeanne.ferrer75@gmail.com</v>
      </c>
      <c r="K89" s="36"/>
      <c r="L89" s="36">
        <v>89.0</v>
      </c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15" t="str">
        <f>'Owners Info'!A92</f>
        <v>SMDC</v>
      </c>
      <c r="B90" s="20" t="str">
        <f>'Owners Info'!B92</f>
        <v>SM 6 BA 1505</v>
      </c>
      <c r="C90" s="20" t="str">
        <f>'Owners Info'!F92</f>
        <v>Jovie Catalan</v>
      </c>
      <c r="D90" s="20" t="str">
        <f>'Owners Info'!I92</f>
        <v>Partnership</v>
      </c>
      <c r="E90" s="26">
        <f>'Owners Info'!J92</f>
        <v>45688</v>
      </c>
      <c r="F90" s="26">
        <f>'Owners Info'!K92</f>
        <v>46053</v>
      </c>
      <c r="G90" s="28" t="str">
        <f>'Owners Info'!L92</f>
        <v>EXPIRED</v>
      </c>
      <c r="H90" s="28" t="str">
        <f>'Owners Info'!C92</f>
        <v>ACTIVE</v>
      </c>
      <c r="I90" s="28" t="str">
        <f>'Owners Info'!M92</f>
        <v/>
      </c>
      <c r="J90" s="27" t="str">
        <f>'Owners Info'!G92</f>
        <v>joeviecatalan2017@gmail.com,
chonavillaruz@gmail.com</v>
      </c>
      <c r="K90" s="15"/>
      <c r="L90" s="15">
        <v>90.0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36" t="str">
        <f>'Owners Info'!A93</f>
        <v>SMDC</v>
      </c>
      <c r="B91" s="39" t="str">
        <f>'Owners Info'!B93</f>
        <v>SM 9 BC 208</v>
      </c>
      <c r="C91" s="39" t="str">
        <f>'Owners Info'!F93</f>
        <v>Jenny May Bantolo / Dan Mark Jurada</v>
      </c>
      <c r="D91" s="39" t="str">
        <f>'Owners Info'!I93</f>
        <v>85/15 Partner</v>
      </c>
      <c r="E91" s="41">
        <f>'Owners Info'!J93</f>
        <v>45708</v>
      </c>
      <c r="F91" s="41">
        <f>'Owners Info'!K93</f>
        <v>46073</v>
      </c>
      <c r="G91" s="46" t="str">
        <f>'Owners Info'!L93</f>
        <v>EXPIRED</v>
      </c>
      <c r="H91" s="46" t="str">
        <f>'Owners Info'!C93</f>
        <v>ACTIVE</v>
      </c>
      <c r="I91" s="84" t="str">
        <f>'Owners Info'!M93</f>
        <v>SM 9 BC 208 - JURADA.pdf</v>
      </c>
      <c r="J91" s="43" t="str">
        <f>'Owners Info'!G93</f>
        <v>juradadanmark8888@gmail.com</v>
      </c>
      <c r="K91" s="36"/>
      <c r="L91" s="36">
        <v>91.0</v>
      </c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15" t="str">
        <f>'Owners Info'!A94</f>
        <v>SMDC</v>
      </c>
      <c r="B92" s="20" t="str">
        <f>'Owners Info'!B94</f>
        <v>SM 11 BB 624</v>
      </c>
      <c r="C92" s="20" t="str">
        <f>'Owners Info'!F94</f>
        <v>Karen Go</v>
      </c>
      <c r="D92" s="20" t="str">
        <f>'Owners Info'!I94</f>
        <v>Partnership</v>
      </c>
      <c r="E92" s="26">
        <f>'Owners Info'!J94</f>
        <v>45751</v>
      </c>
      <c r="F92" s="26">
        <f>'Owners Info'!K94</f>
        <v>45934</v>
      </c>
      <c r="G92" s="28" t="str">
        <f>'Owners Info'!L94</f>
        <v>EXPIRED</v>
      </c>
      <c r="H92" s="28" t="str">
        <f>'Owners Info'!C94</f>
        <v>ACTIVE</v>
      </c>
      <c r="I92" s="79" t="str">
        <f>'Owners Info'!M94</f>
        <v>SM 11 BB 624 - GO.pdf</v>
      </c>
      <c r="J92" s="27" t="str">
        <f>'Owners Info'!G94</f>
        <v>robkar9@yahoo.com.ph</v>
      </c>
      <c r="K92" s="15"/>
      <c r="L92" s="15">
        <v>92.0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36" t="str">
        <f>'Owners Info'!A95</f>
        <v>SMDC</v>
      </c>
      <c r="B93" s="39" t="str">
        <f>'Owners Info'!B95</f>
        <v>SM 4 BA 630</v>
      </c>
      <c r="C93" s="39" t="str">
        <f>'Owners Info'!F95</f>
        <v>Mizzy Rosaldes</v>
      </c>
      <c r="D93" s="39" t="str">
        <f>'Owners Info'!I95</f>
        <v>Partnership</v>
      </c>
      <c r="E93" s="41">
        <f>'Owners Info'!J95</f>
        <v>45593</v>
      </c>
      <c r="F93" s="41">
        <f>'Owners Info'!K95</f>
        <v>45958</v>
      </c>
      <c r="G93" s="46" t="str">
        <f>'Owners Info'!L95</f>
        <v>EXPIRED</v>
      </c>
      <c r="H93" s="46" t="str">
        <f>'Owners Info'!C95</f>
        <v>ACTIVE</v>
      </c>
      <c r="I93" s="84" t="str">
        <f>'Owners Info'!M95</f>
        <v>SM 4 BA 630 - ROSALDES.pdf</v>
      </c>
      <c r="J93" s="43" t="str">
        <f>'Owners Info'!G95</f>
        <v>rosaldesmizzy@gmail.com</v>
      </c>
      <c r="K93" s="36"/>
      <c r="L93" s="36">
        <v>93.0</v>
      </c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15" t="str">
        <f>'Owners Info'!A96</f>
        <v>SMDC</v>
      </c>
      <c r="B94" s="20" t="str">
        <f>'Owners Info'!B96</f>
        <v>SM 10 BA 1420</v>
      </c>
      <c r="C94" s="20" t="str">
        <f>'Owners Info'!F96</f>
        <v>Sugar Ganancial / Dina Jaudian</v>
      </c>
      <c r="D94" s="20" t="str">
        <f>'Owners Info'!I96</f>
        <v>Partnership</v>
      </c>
      <c r="E94" s="26">
        <f>'Owners Info'!J96</f>
        <v>45754</v>
      </c>
      <c r="F94" s="26">
        <f>'Owners Info'!K96</f>
        <v>45907</v>
      </c>
      <c r="G94" s="28" t="str">
        <f>'Owners Info'!L96</f>
        <v>EXPIRED</v>
      </c>
      <c r="H94" s="28" t="str">
        <f>'Owners Info'!C96</f>
        <v>ACTIVE</v>
      </c>
      <c r="I94" s="79" t="str">
        <f>'Owners Info'!M96</f>
        <v>SM 10 BA 1420 - GANANCIAL/JAUDIAN.pdf</v>
      </c>
      <c r="J94" s="27" t="str">
        <f>'Owners Info'!G96</f>
        <v>svghbatch7@gmail.com</v>
      </c>
      <c r="K94" s="15"/>
      <c r="L94" s="15">
        <v>94.0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36" t="str">
        <f>'Owners Info'!A97</f>
        <v>The Palladium</v>
      </c>
      <c r="B95" s="39" t="str">
        <f>'Owners Info'!B97</f>
        <v>8 TP NW 21B</v>
      </c>
      <c r="C95" s="39" t="str">
        <f>'Owners Info'!F97</f>
        <v>Amelita Lapating / Eric Noriega</v>
      </c>
      <c r="D95" s="39" t="str">
        <f>'Owners Info'!I97</f>
        <v>85/15 Partner</v>
      </c>
      <c r="E95" s="41">
        <f>'Owners Info'!J97</f>
        <v>45809</v>
      </c>
      <c r="F95" s="41">
        <f>'Owners Info'!K97</f>
        <v>46174</v>
      </c>
      <c r="G95" s="46" t="str">
        <f>'Owners Info'!L97</f>
        <v>EXPIRED</v>
      </c>
      <c r="H95" s="46" t="str">
        <f>'Owners Info'!C97</f>
        <v>ACTIVE</v>
      </c>
      <c r="I95" s="84" t="str">
        <f>'Owners Info'!M97</f>
        <v>TP NW 21B - LAPATING/NORIEGA</v>
      </c>
      <c r="J95" s="43" t="str">
        <f>'Owners Info'!G97</f>
        <v>amylapating@yahoo.com</v>
      </c>
      <c r="K95" s="36"/>
      <c r="L95" s="36">
        <v>95.0</v>
      </c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15" t="str">
        <f>'Owners Info'!A98</f>
        <v>The Palladium</v>
      </c>
      <c r="B96" s="20" t="str">
        <f>'Owners Info'!B98</f>
        <v>14 TP NW 22C</v>
      </c>
      <c r="C96" s="20" t="str">
        <f>'Owners Info'!F98</f>
        <v>Risty Durbin</v>
      </c>
      <c r="D96" s="20" t="str">
        <f>'Owners Info'!I98</f>
        <v>Partnership</v>
      </c>
      <c r="E96" s="26">
        <f>'Owners Info'!J98</f>
        <v>45495</v>
      </c>
      <c r="F96" s="26">
        <f>'Owners Info'!K98</f>
        <v>45860</v>
      </c>
      <c r="G96" s="28" t="str">
        <f>'Owners Info'!L98</f>
        <v>EXPIRED</v>
      </c>
      <c r="H96" s="28" t="str">
        <f>'Owners Info'!C98</f>
        <v>ACTIVE</v>
      </c>
      <c r="I96" s="79" t="str">
        <f>'Owners Info'!M98</f>
        <v>14 TP NW 22C - DURBIN.pdf</v>
      </c>
      <c r="J96" s="27" t="str">
        <f>'Owners Info'!G98</f>
        <v>ristyd@yahoo.com</v>
      </c>
      <c r="K96" s="15"/>
      <c r="L96" s="15">
        <v>96.0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36" t="str">
        <f>'Owners Info'!A99</f>
        <v>The Palladium</v>
      </c>
      <c r="B97" s="39" t="str">
        <f>'Owners Info'!B99</f>
        <v>15 TP SW 8D</v>
      </c>
      <c r="C97" s="39" t="str">
        <f>'Owners Info'!F99</f>
        <v>Joan Reyes</v>
      </c>
      <c r="D97" s="39" t="str">
        <f>'Owners Info'!I99</f>
        <v>85/15 Partner</v>
      </c>
      <c r="E97" s="41">
        <f>'Owners Info'!J99</f>
        <v>45810</v>
      </c>
      <c r="F97" s="41">
        <f>'Owners Info'!K99</f>
        <v>45967</v>
      </c>
      <c r="G97" s="46" t="str">
        <f>'Owners Info'!L99</f>
        <v>EXPIRED</v>
      </c>
      <c r="H97" s="46" t="str">
        <f>'Owners Info'!C99</f>
        <v>ACTIVE</v>
      </c>
      <c r="I97" s="84" t="str">
        <f>'Owners Info'!M99</f>
        <v>TP SW 8D - REYES.pdf</v>
      </c>
      <c r="J97" s="43" t="str">
        <f>'Owners Info'!G99</f>
        <v>joansalmeoreyes@gmail.com</v>
      </c>
      <c r="K97" s="36"/>
      <c r="L97" s="36">
        <v>97.0</v>
      </c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15" t="str">
        <f>'Owners Info'!A100</f>
        <v>The Palladium</v>
      </c>
      <c r="B98" s="20" t="str">
        <f>'Owners Info'!B100</f>
        <v>13 TP SW 5J</v>
      </c>
      <c r="C98" s="20" t="str">
        <f>'Owners Info'!F100</f>
        <v>Ira Villanueva-Valenzuela </v>
      </c>
      <c r="D98" s="20" t="str">
        <f>'Owners Info'!I100</f>
        <v>75/25 Partner</v>
      </c>
      <c r="E98" s="26">
        <f>'Owners Info'!J100</f>
        <v>45474</v>
      </c>
      <c r="F98" s="26">
        <f>'Owners Info'!K100</f>
        <v>45839</v>
      </c>
      <c r="G98" s="28" t="str">
        <f>'Owners Info'!L100</f>
        <v>EXPIRED</v>
      </c>
      <c r="H98" s="28" t="str">
        <f>'Owners Info'!C100</f>
        <v>ACTIVE</v>
      </c>
      <c r="I98" s="79" t="str">
        <f>'Owners Info'!M100</f>
        <v>13 TP SW 5J - VILLANUEVA.pdf</v>
      </c>
      <c r="J98" s="27" t="str">
        <f>'Owners Info'!G100</f>
        <v>villanueva_ira@yahoo.com</v>
      </c>
      <c r="K98" s="15"/>
      <c r="L98" s="15">
        <v>98.0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36" t="str">
        <f>'Owners Info'!A101</f>
        <v>WV Towers</v>
      </c>
      <c r="B99" s="39" t="str">
        <f>'Owners Info'!B101</f>
        <v>WV 24 T1 508</v>
      </c>
      <c r="C99" s="39" t="str">
        <f>'Owners Info'!F101</f>
        <v>Victor Raymundo Contreras</v>
      </c>
      <c r="D99" s="39" t="str">
        <f>'Owners Info'!I101</f>
        <v>Partnership</v>
      </c>
      <c r="E99" s="41" t="str">
        <f>'Owners Info'!J101</f>
        <v/>
      </c>
      <c r="F99" s="41" t="str">
        <f>'Owners Info'!K101</f>
        <v/>
      </c>
      <c r="G99" s="46" t="str">
        <f>'Owners Info'!L101</f>
        <v>IN PROGRESS</v>
      </c>
      <c r="H99" s="46" t="str">
        <f>'Owners Info'!C101</f>
        <v>IN PROGRESS</v>
      </c>
      <c r="I99" s="46" t="str">
        <f>'Owners Info'!M101</f>
        <v/>
      </c>
      <c r="J99" s="43" t="str">
        <f>'Owners Info'!G101</f>
        <v>bonnyapparelinc@gmail.com</v>
      </c>
      <c r="K99" s="36"/>
      <c r="L99" s="36">
        <v>99.0</v>
      </c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15" t="str">
        <f>'Owners Info'!A102</f>
        <v>WV Towers</v>
      </c>
      <c r="B100" s="20" t="str">
        <f>'Owners Info'!B102</f>
        <v>WV 25 T1 511</v>
      </c>
      <c r="C100" s="20" t="str">
        <f>'Owners Info'!F102</f>
        <v>Victor Raymundo Contreras</v>
      </c>
      <c r="D100" s="20" t="str">
        <f>'Owners Info'!I102</f>
        <v>Partnership</v>
      </c>
      <c r="E100" s="26" t="str">
        <f>'Owners Info'!J102</f>
        <v/>
      </c>
      <c r="F100" s="26" t="str">
        <f>'Owners Info'!K102</f>
        <v/>
      </c>
      <c r="G100" s="28" t="str">
        <f>'Owners Info'!L102</f>
        <v>IN PROGRESS</v>
      </c>
      <c r="H100" s="28" t="str">
        <f>'Owners Info'!C102</f>
        <v>IN PROGRESS</v>
      </c>
      <c r="I100" s="28" t="str">
        <f>'Owners Info'!M102</f>
        <v/>
      </c>
      <c r="J100" s="27" t="str">
        <f>'Owners Info'!G102</f>
        <v>bonnyapparelinc@gmail.com</v>
      </c>
      <c r="K100" s="15"/>
      <c r="L100" s="15">
        <v>100.0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36" t="str">
        <f>'Owners Info'!A103</f>
        <v>WV Towers</v>
      </c>
      <c r="B101" s="39" t="str">
        <f>'Owners Info'!B103</f>
        <v>WV 26  T1 512</v>
      </c>
      <c r="C101" s="39" t="str">
        <f>'Owners Info'!F103</f>
        <v>Victor Raymundo Contreras</v>
      </c>
      <c r="D101" s="39" t="str">
        <f>'Owners Info'!I103</f>
        <v>Partnership</v>
      </c>
      <c r="E101" s="41" t="str">
        <f>'Owners Info'!J103</f>
        <v/>
      </c>
      <c r="F101" s="41" t="str">
        <f>'Owners Info'!K103</f>
        <v/>
      </c>
      <c r="G101" s="46" t="str">
        <f>'Owners Info'!L103</f>
        <v>IN PROGRESS</v>
      </c>
      <c r="H101" s="46" t="str">
        <f>'Owners Info'!C103</f>
        <v>IN PROGRESS</v>
      </c>
      <c r="I101" s="46" t="str">
        <f>'Owners Info'!M103</f>
        <v/>
      </c>
      <c r="J101" s="43" t="str">
        <f>'Owners Info'!G103</f>
        <v>bonnyapparelinc@gmail.com</v>
      </c>
      <c r="K101" s="36"/>
      <c r="L101" s="36">
        <v>101.0</v>
      </c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15" t="str">
        <f>'Owners Info'!A104</f>
        <v>WV Towers</v>
      </c>
      <c r="B102" s="20" t="str">
        <f>'Owners Info'!B104</f>
        <v>WV 27 T1 513</v>
      </c>
      <c r="C102" s="20" t="str">
        <f>'Owners Info'!F104</f>
        <v>Victor Raymundo Contreras</v>
      </c>
      <c r="D102" s="20" t="str">
        <f>'Owners Info'!I104</f>
        <v>Partnership</v>
      </c>
      <c r="E102" s="26" t="str">
        <f>'Owners Info'!J104</f>
        <v/>
      </c>
      <c r="F102" s="26" t="str">
        <f>'Owners Info'!K104</f>
        <v/>
      </c>
      <c r="G102" s="28" t="str">
        <f>'Owners Info'!L104</f>
        <v>IN PROGRESS</v>
      </c>
      <c r="H102" s="28" t="str">
        <f>'Owners Info'!C104</f>
        <v>IN PROGRESS</v>
      </c>
      <c r="I102" s="28" t="str">
        <f>'Owners Info'!M104</f>
        <v/>
      </c>
      <c r="J102" s="27" t="str">
        <f>'Owners Info'!G104</f>
        <v>bonnyapparelinc@gmail.com</v>
      </c>
      <c r="K102" s="15"/>
      <c r="L102" s="15">
        <v>102.0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36" t="str">
        <f>'Owners Info'!A105</f>
        <v>WV Towers</v>
      </c>
      <c r="B103" s="39" t="str">
        <f>'Owners Info'!B105</f>
        <v>WV 13 T1 717</v>
      </c>
      <c r="C103" s="39" t="str">
        <f>'Owners Info'!F105</f>
        <v>Victor Raymundo Contreras</v>
      </c>
      <c r="D103" s="39" t="str">
        <f>'Owners Info'!I105</f>
        <v>Partnership</v>
      </c>
      <c r="E103" s="41" t="str">
        <f>'Owners Info'!J105</f>
        <v/>
      </c>
      <c r="F103" s="41" t="str">
        <f>'Owners Info'!K105</f>
        <v/>
      </c>
      <c r="G103" s="46" t="str">
        <f>'Owners Info'!L105</f>
        <v/>
      </c>
      <c r="H103" s="46" t="str">
        <f>'Owners Info'!C105</f>
        <v>FOR RENEWAL</v>
      </c>
      <c r="I103" s="46" t="str">
        <f>'Owners Info'!M105</f>
        <v/>
      </c>
      <c r="J103" s="43" t="str">
        <f>'Owners Info'!G105</f>
        <v>
bonnyapparelinc@gmail.com
chalan0916@gmail.com</v>
      </c>
      <c r="K103" s="36"/>
      <c r="L103" s="36">
        <v>103.0</v>
      </c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15" t="str">
        <f>'Owners Info'!A106</f>
        <v>WV Towers</v>
      </c>
      <c r="B104" s="20" t="str">
        <f>'Owners Info'!B106</f>
        <v>WV 4 T1 813</v>
      </c>
      <c r="C104" s="20" t="str">
        <f>'Owners Info'!F106</f>
        <v>Victor Raymundo Contreras</v>
      </c>
      <c r="D104" s="20" t="str">
        <f>'Owners Info'!I106</f>
        <v>Partnership</v>
      </c>
      <c r="E104" s="26" t="str">
        <f>'Owners Info'!J106</f>
        <v/>
      </c>
      <c r="F104" s="26" t="str">
        <f>'Owners Info'!K106</f>
        <v/>
      </c>
      <c r="G104" s="28" t="str">
        <f>'Owners Info'!L106</f>
        <v/>
      </c>
      <c r="H104" s="28" t="str">
        <f>'Owners Info'!C106</f>
        <v>ACTIVE</v>
      </c>
      <c r="I104" s="28" t="str">
        <f>'Owners Info'!M106</f>
        <v/>
      </c>
      <c r="J104" s="27" t="str">
        <f>'Owners Info'!G106</f>
        <v>bonnyapparelinc@gmail.com</v>
      </c>
      <c r="K104" s="15"/>
      <c r="L104" s="15">
        <v>104.0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36" t="str">
        <f>'Owners Info'!A107</f>
        <v>WV Towers</v>
      </c>
      <c r="B105" s="39" t="str">
        <f>'Owners Info'!B107</f>
        <v>WV 5 T1 816</v>
      </c>
      <c r="C105" s="39" t="str">
        <f>'Owners Info'!F107</f>
        <v>Victor Raymundo Contreras</v>
      </c>
      <c r="D105" s="39" t="str">
        <f>'Owners Info'!I107</f>
        <v>Partnership</v>
      </c>
      <c r="E105" s="41" t="str">
        <f>'Owners Info'!J107</f>
        <v/>
      </c>
      <c r="F105" s="41" t="str">
        <f>'Owners Info'!K107</f>
        <v/>
      </c>
      <c r="G105" s="46" t="str">
        <f>'Owners Info'!L107</f>
        <v/>
      </c>
      <c r="H105" s="46" t="str">
        <f>'Owners Info'!C107</f>
        <v>ACTIVE</v>
      </c>
      <c r="I105" s="46" t="str">
        <f>'Owners Info'!M107</f>
        <v/>
      </c>
      <c r="J105" s="43" t="str">
        <f>'Owners Info'!G107</f>
        <v>bonnyapparelinc@gmail.com</v>
      </c>
      <c r="K105" s="36"/>
      <c r="L105" s="36">
        <v>105.0</v>
      </c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15" t="str">
        <f>'Owners Info'!A108</f>
        <v>WV Towers</v>
      </c>
      <c r="B106" s="20" t="str">
        <f>'Owners Info'!B108</f>
        <v>WV 6 T1 820</v>
      </c>
      <c r="C106" s="20" t="str">
        <f>'Owners Info'!F108</f>
        <v>Victor Raymundo Contreras</v>
      </c>
      <c r="D106" s="20" t="str">
        <f>'Owners Info'!I108</f>
        <v>Partnership</v>
      </c>
      <c r="E106" s="26" t="str">
        <f>'Owners Info'!J108</f>
        <v/>
      </c>
      <c r="F106" s="26" t="str">
        <f>'Owners Info'!K108</f>
        <v/>
      </c>
      <c r="G106" s="28" t="str">
        <f>'Owners Info'!L108</f>
        <v/>
      </c>
      <c r="H106" s="28" t="str">
        <f>'Owners Info'!C108</f>
        <v>ACTIVE</v>
      </c>
      <c r="I106" s="28" t="str">
        <f>'Owners Info'!M108</f>
        <v/>
      </c>
      <c r="J106" s="27" t="str">
        <f>'Owners Info'!G108</f>
        <v>bonnyapparelinc@gmail.com</v>
      </c>
      <c r="K106" s="15"/>
      <c r="L106" s="15">
        <v>106.0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36" t="str">
        <f>'Owners Info'!A109</f>
        <v>WV Towers</v>
      </c>
      <c r="B107" s="39" t="str">
        <f>'Owners Info'!B109</f>
        <v>WV 7 T1 821</v>
      </c>
      <c r="C107" s="39" t="str">
        <f>'Owners Info'!F109</f>
        <v>Victor Raymundo Contreras</v>
      </c>
      <c r="D107" s="39" t="str">
        <f>'Owners Info'!I109</f>
        <v>Partnership</v>
      </c>
      <c r="E107" s="41" t="str">
        <f>'Owners Info'!J109</f>
        <v/>
      </c>
      <c r="F107" s="41" t="str">
        <f>'Owners Info'!K109</f>
        <v/>
      </c>
      <c r="G107" s="46" t="str">
        <f>'Owners Info'!L109</f>
        <v/>
      </c>
      <c r="H107" s="46" t="str">
        <f>'Owners Info'!C109</f>
        <v>ACTIVE</v>
      </c>
      <c r="I107" s="46" t="str">
        <f>'Owners Info'!M109</f>
        <v/>
      </c>
      <c r="J107" s="43" t="str">
        <f>'Owners Info'!G109</f>
        <v>bonnyapparelinc@gmail.com</v>
      </c>
      <c r="K107" s="36"/>
      <c r="L107" s="36">
        <v>107.0</v>
      </c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15" t="str">
        <f>'Owners Info'!A110</f>
        <v>WV Towers</v>
      </c>
      <c r="B108" s="20" t="str">
        <f>'Owners Info'!B110</f>
        <v>WV 8 T1 818</v>
      </c>
      <c r="C108" s="20" t="str">
        <f>'Owners Info'!F110</f>
        <v>Victor Raymundo Contreras</v>
      </c>
      <c r="D108" s="20" t="str">
        <f>'Owners Info'!I110</f>
        <v>Partnership</v>
      </c>
      <c r="E108" s="26" t="str">
        <f>'Owners Info'!J110</f>
        <v/>
      </c>
      <c r="F108" s="26" t="str">
        <f>'Owners Info'!K110</f>
        <v/>
      </c>
      <c r="G108" s="28" t="str">
        <f>'Owners Info'!L110</f>
        <v/>
      </c>
      <c r="H108" s="28" t="str">
        <f>'Owners Info'!C110</f>
        <v>ACTIVE</v>
      </c>
      <c r="I108" s="28" t="str">
        <f>'Owners Info'!M110</f>
        <v/>
      </c>
      <c r="J108" s="27" t="str">
        <f>'Owners Info'!G110</f>
        <v>bonnyapparelinc@gmail.com</v>
      </c>
      <c r="K108" s="15"/>
      <c r="L108" s="15">
        <v>108.0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36" t="str">
        <f>'Owners Info'!A111</f>
        <v>WV Towers</v>
      </c>
      <c r="B109" s="39" t="str">
        <f>'Owners Info'!B111</f>
        <v>WV 9 T1 817</v>
      </c>
      <c r="C109" s="39" t="str">
        <f>'Owners Info'!F111</f>
        <v>Victor Raymundo Contreras</v>
      </c>
      <c r="D109" s="39" t="str">
        <f>'Owners Info'!I111</f>
        <v>Partnership</v>
      </c>
      <c r="E109" s="41" t="str">
        <f>'Owners Info'!J111</f>
        <v/>
      </c>
      <c r="F109" s="41" t="str">
        <f>'Owners Info'!K111</f>
        <v/>
      </c>
      <c r="G109" s="46" t="str">
        <f>'Owners Info'!L111</f>
        <v/>
      </c>
      <c r="H109" s="46" t="str">
        <f>'Owners Info'!C111</f>
        <v>ACTIVE</v>
      </c>
      <c r="I109" s="46" t="str">
        <f>'Owners Info'!M111</f>
        <v/>
      </c>
      <c r="J109" s="43" t="str">
        <f>'Owners Info'!G111</f>
        <v>bonnyapparelinc@gmail.com</v>
      </c>
      <c r="K109" s="36"/>
      <c r="L109" s="36">
        <v>109.0</v>
      </c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15" t="str">
        <f>'Owners Info'!A112</f>
        <v>WV Towers</v>
      </c>
      <c r="B110" s="20" t="str">
        <f>'Owners Info'!B112</f>
        <v>WV 14 T1 718</v>
      </c>
      <c r="C110" s="20" t="str">
        <f>'Owners Info'!F112</f>
        <v>Victor Raymundo Contreras</v>
      </c>
      <c r="D110" s="20" t="str">
        <f>'Owners Info'!I112</f>
        <v>Partnership</v>
      </c>
      <c r="E110" s="26" t="str">
        <f>'Owners Info'!J112</f>
        <v/>
      </c>
      <c r="F110" s="26" t="str">
        <f>'Owners Info'!K112</f>
        <v/>
      </c>
      <c r="G110" s="28" t="str">
        <f>'Owners Info'!L112</f>
        <v/>
      </c>
      <c r="H110" s="28" t="str">
        <f>'Owners Info'!C112</f>
        <v>FOR RENEWAL</v>
      </c>
      <c r="I110" s="28" t="str">
        <f>'Owners Info'!M112</f>
        <v/>
      </c>
      <c r="J110" s="27" t="str">
        <f>'Owners Info'!G112</f>
        <v>bonnyapparelinc@gmail.com
chalan0916@gmail.com</v>
      </c>
      <c r="K110" s="15"/>
      <c r="L110" s="15">
        <v>110.0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6" t="str">
        <f>'Owners Info'!A113</f>
        <v>WV Towers</v>
      </c>
      <c r="B111" s="39" t="str">
        <f>'Owners Info'!B113</f>
        <v>WV 23 T2 1013</v>
      </c>
      <c r="C111" s="39" t="str">
        <f>'Owners Info'!F113</f>
        <v>Rijade Bibiano Quezon</v>
      </c>
      <c r="D111" s="39" t="str">
        <f>'Owners Info'!I113</f>
        <v>85/15 Partner</v>
      </c>
      <c r="E111" s="41" t="str">
        <f>'Owners Info'!J113</f>
        <v/>
      </c>
      <c r="F111" s="41" t="str">
        <f>'Owners Info'!K113</f>
        <v/>
      </c>
      <c r="G111" s="46" t="str">
        <f>'Owners Info'!L113</f>
        <v/>
      </c>
      <c r="H111" s="46" t="str">
        <f>'Owners Info'!C113</f>
        <v>ACTIVE</v>
      </c>
      <c r="I111" s="46" t="str">
        <f>'Owners Info'!M113</f>
        <v/>
      </c>
      <c r="J111" s="247" t="str">
        <f>'Owners Info'!G113</f>
        <v>jadebibiano@gmail.com</v>
      </c>
      <c r="K111" s="36"/>
      <c r="L111" s="36">
        <v>111.0</v>
      </c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15" t="str">
        <f>'Owners Info'!A114</f>
        <v>WV Towers</v>
      </c>
      <c r="B112" s="20" t="str">
        <f>'Owners Info'!B114</f>
        <v>WV 20 T2 501</v>
      </c>
      <c r="C112" s="20" t="str">
        <f>'Owners Info'!F114</f>
        <v>John Marañon</v>
      </c>
      <c r="D112" s="20" t="str">
        <f>'Owners Info'!I114</f>
        <v>75/25 Partner</v>
      </c>
      <c r="E112" s="26">
        <f>'Owners Info'!J114</f>
        <v>45654</v>
      </c>
      <c r="F112" s="26">
        <f>'Owners Info'!K114</f>
        <v>46019</v>
      </c>
      <c r="G112" s="28" t="str">
        <f>'Owners Info'!L114</f>
        <v>EXPIRED</v>
      </c>
      <c r="H112" s="28" t="str">
        <f>'Owners Info'!C114</f>
        <v>ACTIVE</v>
      </c>
      <c r="I112" s="133" t="str">
        <f>'Owners Info'!M114</f>
        <v>WV 20 T2 501 - MARAÑON.pdf</v>
      </c>
      <c r="J112" s="27" t="str">
        <f>'Owners Info'!G114</f>
        <v>jmfilmsproduction2014@gmail.com</v>
      </c>
      <c r="K112" s="15"/>
      <c r="L112" s="15">
        <v>112.0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6" t="str">
        <f>'Owners Info'!A115</f>
        <v>WV Towers</v>
      </c>
      <c r="B113" s="39" t="str">
        <f>'Owners Info'!B115</f>
        <v>WV 15 T1 715</v>
      </c>
      <c r="C113" s="39" t="str">
        <f>'Owners Info'!F115</f>
        <v>Jose Roy Hipolito</v>
      </c>
      <c r="D113" s="39" t="str">
        <f>'Owners Info'!I115</f>
        <v>Partnership</v>
      </c>
      <c r="E113" s="41">
        <f>'Owners Info'!J115</f>
        <v>45537</v>
      </c>
      <c r="F113" s="41">
        <f>'Owners Info'!K115</f>
        <v>45902</v>
      </c>
      <c r="G113" s="46" t="str">
        <f>'Owners Info'!L115</f>
        <v>EXPIRED</v>
      </c>
      <c r="H113" s="46" t="str">
        <f>'Owners Info'!C115</f>
        <v>ACTIVE</v>
      </c>
      <c r="I113" s="127" t="str">
        <f>'Owners Info'!M115</f>
        <v>WV 15 T1 715 - HIPOLITO.pdf</v>
      </c>
      <c r="J113" s="43" t="str">
        <f>'Owners Info'!G115</f>
        <v>joseroyhipolito71@gmail.com</v>
      </c>
      <c r="K113" s="36"/>
      <c r="L113" s="36">
        <v>113.0</v>
      </c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15" t="str">
        <f>'Owners Info'!A116</f>
        <v>WV Towers</v>
      </c>
      <c r="B114" s="20" t="str">
        <f>'Owners Info'!B116</f>
        <v>WV 12 T1 805</v>
      </c>
      <c r="C114" s="20" t="str">
        <f>'Owners Info'!F116</f>
        <v>L. Leo Dimamay</v>
      </c>
      <c r="D114" s="20" t="str">
        <f>'Owners Info'!I116</f>
        <v>Partnership</v>
      </c>
      <c r="E114" s="26">
        <f>'Owners Info'!J116</f>
        <v>45847</v>
      </c>
      <c r="F114" s="26">
        <f>'Owners Info'!K116</f>
        <v>46212</v>
      </c>
      <c r="G114" s="28" t="str">
        <f>'Owners Info'!L116</f>
        <v>EXPIRED</v>
      </c>
      <c r="H114" s="28" t="str">
        <f>'Owners Info'!C116</f>
        <v>ACTIVE</v>
      </c>
      <c r="I114" s="79" t="str">
        <f>'Owners Info'!M116</f>
        <v>WV T1 805 - DIMAMAY.pdf</v>
      </c>
      <c r="J114" s="27" t="str">
        <f>'Owners Info'!G116</f>
        <v>lleodimamay.ifilneur@gmail.com</v>
      </c>
      <c r="K114" s="15"/>
      <c r="L114" s="15">
        <v>114.0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36" t="str">
        <f>'Owners Info'!A117</f>
        <v>WV Towers</v>
      </c>
      <c r="B115" s="39" t="str">
        <f>'Owners Info'!B117</f>
        <v>WV 17 T1 1005</v>
      </c>
      <c r="C115" s="39" t="str">
        <f>'Owners Info'!F117</f>
        <v>Risty Durbin</v>
      </c>
      <c r="D115" s="39" t="str">
        <f>'Owners Info'!I117</f>
        <v>Partnership</v>
      </c>
      <c r="E115" s="41" t="str">
        <f>'Owners Info'!J117</f>
        <v/>
      </c>
      <c r="F115" s="41" t="str">
        <f>'Owners Info'!K117</f>
        <v/>
      </c>
      <c r="G115" s="46" t="str">
        <f>'Owners Info'!L117</f>
        <v/>
      </c>
      <c r="H115" s="46" t="str">
        <f>'Owners Info'!C117</f>
        <v>ACTIVE</v>
      </c>
      <c r="I115" s="46" t="str">
        <f>'Owners Info'!M117</f>
        <v/>
      </c>
      <c r="J115" s="43" t="str">
        <f>'Owners Info'!G117</f>
        <v>ristyd@yahoo.com</v>
      </c>
      <c r="K115" s="36"/>
      <c r="L115" s="36">
        <v>115.0</v>
      </c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15" t="str">
        <f>'Owners Info'!A118</f>
        <v>WV Towers</v>
      </c>
      <c r="B116" s="20" t="str">
        <f>'Owners Info'!B118</f>
        <v>WV 18 T2 611</v>
      </c>
      <c r="C116" s="20" t="str">
        <f>'Owners Info'!F118</f>
        <v>Sharmaine Cabial</v>
      </c>
      <c r="D116" s="20" t="str">
        <f>'Owners Info'!I118</f>
        <v>85/15 Partner</v>
      </c>
      <c r="E116" s="26">
        <f>'Owners Info'!J118</f>
        <v>45407</v>
      </c>
      <c r="F116" s="26">
        <f>'Owners Info'!K118</f>
        <v>46320</v>
      </c>
      <c r="G116" s="28">
        <f>'Owners Info'!L118</f>
        <v>59</v>
      </c>
      <c r="H116" s="28" t="str">
        <f>'Owners Info'!C118</f>
        <v>ACTIVE</v>
      </c>
      <c r="I116" s="133" t="str">
        <f>'Owners Info'!M118</f>
        <v>WV 2 6II - CABIAL.pdf</v>
      </c>
      <c r="J116" s="27" t="str">
        <f>'Owners Info'!G118</f>
        <v>shacabial@gmail.com</v>
      </c>
      <c r="K116" s="15"/>
      <c r="L116" s="15">
        <v>116.0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36" t="str">
        <f>'Owners Info'!A119</f>
        <v>WV Towers</v>
      </c>
      <c r="B117" s="39" t="str">
        <f>'Owners Info'!B119</f>
        <v>WV 21 T2 824</v>
      </c>
      <c r="C117" s="39" t="str">
        <f>'Owners Info'!F119</f>
        <v>Jessie Labiste Jr.</v>
      </c>
      <c r="D117" s="39" t="str">
        <f>'Owners Info'!I119</f>
        <v>85/15 Partner</v>
      </c>
      <c r="E117" s="41">
        <f>'Owners Info'!J119</f>
        <v>45675</v>
      </c>
      <c r="F117" s="41">
        <f>'Owners Info'!K119</f>
        <v>46039</v>
      </c>
      <c r="G117" s="46" t="str">
        <f>'Owners Info'!L119</f>
        <v>EXPIRED</v>
      </c>
      <c r="H117" s="46" t="str">
        <f>'Owners Info'!C119</f>
        <v>ACTIVE</v>
      </c>
      <c r="I117" s="46" t="str">
        <f>'Owners Info'!M119</f>
        <v/>
      </c>
      <c r="J117" s="43" t="str">
        <f>'Owners Info'!G119</f>
        <v>sirlabsclassroom@gmail.com</v>
      </c>
      <c r="K117" s="36"/>
      <c r="L117" s="36">
        <v>117.0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15" t="str">
        <f>'Owners Info'!A120</f>
        <v>WV Towers</v>
      </c>
      <c r="B118" s="20" t="str">
        <f>'Owners Info'!B120</f>
        <v>WV 3 T1 1003</v>
      </c>
      <c r="C118" s="20" t="str">
        <f>'Owners Info'!F120</f>
        <v>Rhea Subong</v>
      </c>
      <c r="D118" s="20" t="str">
        <f>'Owners Info'!I120</f>
        <v>Partnership</v>
      </c>
      <c r="E118" s="26">
        <f>'Owners Info'!J120</f>
        <v>45689</v>
      </c>
      <c r="F118" s="26">
        <f>'Owners Info'!K120</f>
        <v>46054</v>
      </c>
      <c r="G118" s="28" t="str">
        <f>'Owners Info'!L120</f>
        <v>EXPIRED</v>
      </c>
      <c r="H118" s="28" t="str">
        <f>'Owners Info'!C120</f>
        <v>ACTIVE</v>
      </c>
      <c r="I118" s="28" t="str">
        <f>'Owners Info'!M120</f>
        <v/>
      </c>
      <c r="J118" s="27" t="str">
        <f>'Owners Info'!G120</f>
        <v>subong_rhea@yahoo.com</v>
      </c>
      <c r="K118" s="15"/>
      <c r="L118" s="15">
        <v>118.0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36" t="str">
        <f>'Owners Info'!A121</f>
        <v>WV Towers</v>
      </c>
      <c r="B119" s="39" t="str">
        <f>'Owners Info'!B121</f>
        <v>WV 22 T2 1007</v>
      </c>
      <c r="C119" s="39" t="str">
        <f>'Owners Info'!F121</f>
        <v>April Kaoli Mayordomo</v>
      </c>
      <c r="D119" s="39" t="str">
        <f>'Owners Info'!I121</f>
        <v>Fixed</v>
      </c>
      <c r="E119" s="43" t="str">
        <f>'Owners Info'!J121</f>
        <v>n/a</v>
      </c>
      <c r="F119" s="41" t="str">
        <f>'Owners Info'!K121</f>
        <v/>
      </c>
      <c r="G119" s="46" t="str">
        <f>'Owners Info'!L121</f>
        <v/>
      </c>
      <c r="H119" s="46" t="str">
        <f>'Owners Info'!C121</f>
        <v>ACTIVE</v>
      </c>
      <c r="I119" s="46" t="str">
        <f>'Owners Info'!M121</f>
        <v/>
      </c>
      <c r="J119" s="43" t="str">
        <f>'Owners Info'!G121</f>
        <v>n/a</v>
      </c>
      <c r="K119" s="36"/>
      <c r="L119" s="36">
        <v>119.0</v>
      </c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15" t="str">
        <f>'Owners Info'!A122</f>
        <v>WV Towers</v>
      </c>
      <c r="B120" s="20" t="str">
        <f>'Owners Info'!B122</f>
        <v>WV 2 T1 824</v>
      </c>
      <c r="C120" s="20" t="str">
        <f>'Owners Info'!F122</f>
        <v>Ruby Arroyo</v>
      </c>
      <c r="D120" s="20" t="str">
        <f>'Owners Info'!I122</f>
        <v>Fixed</v>
      </c>
      <c r="E120" s="26" t="str">
        <f>'Owners Info'!J122</f>
        <v/>
      </c>
      <c r="F120" s="26" t="str">
        <f>'Owners Info'!K122</f>
        <v/>
      </c>
      <c r="G120" s="28" t="str">
        <f>'Owners Info'!L122</f>
        <v/>
      </c>
      <c r="H120" s="28" t="str">
        <f>'Owners Info'!C122</f>
        <v>ACTIVE</v>
      </c>
      <c r="I120" s="28" t="str">
        <f>'Owners Info'!M122</f>
        <v/>
      </c>
      <c r="J120" s="27" t="str">
        <f>'Owners Info'!G122</f>
        <v>rubyarroyo70@yahoo.com</v>
      </c>
      <c r="K120" s="15"/>
      <c r="L120" s="15">
        <v>120.0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36" t="str">
        <f>'Owners Info'!A123</f>
        <v>WV Towers</v>
      </c>
      <c r="B121" s="39" t="str">
        <f>'Owners Info'!B123</f>
        <v>WV 16 T1 705</v>
      </c>
      <c r="C121" s="39" t="str">
        <f>'Owners Info'!F123</f>
        <v>Genelyn Dagum</v>
      </c>
      <c r="D121" s="39" t="str">
        <f>'Owners Info'!I123</f>
        <v>Partnership</v>
      </c>
      <c r="E121" s="41">
        <f>'Owners Info'!J123</f>
        <v>45554</v>
      </c>
      <c r="F121" s="41">
        <f>'Owners Info'!K123</f>
        <v>45919</v>
      </c>
      <c r="G121" s="46" t="str">
        <f>'Owners Info'!L123</f>
        <v>EXPIRED</v>
      </c>
      <c r="H121" s="46" t="str">
        <f>'Owners Info'!C123</f>
        <v>ACTIVE</v>
      </c>
      <c r="I121" s="127" t="str">
        <f>'Owners Info'!M123</f>
        <v>WV 16 T1 705 - DAGUM.pdf</v>
      </c>
      <c r="J121" s="43" t="str">
        <f>'Owners Info'!G123</f>
        <v>genalynpdagum@gmail.com</v>
      </c>
      <c r="K121" s="36"/>
      <c r="L121" s="36">
        <v>121.0</v>
      </c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15" t="str">
        <f>'Owners Info'!A124</f>
        <v>WV Towers</v>
      </c>
      <c r="B122" s="20" t="str">
        <f>'Owners Info'!B124</f>
        <v>WV 1 T1 519</v>
      </c>
      <c r="C122" s="20" t="str">
        <f>'Owners Info'!F124</f>
        <v>Ruby Arroyo</v>
      </c>
      <c r="D122" s="20" t="str">
        <f>'Owners Info'!I124</f>
        <v/>
      </c>
      <c r="E122" s="26">
        <f>'Owners Info'!J124</f>
        <v>45779</v>
      </c>
      <c r="F122" s="26">
        <f>'Owners Info'!K124</f>
        <v>46144</v>
      </c>
      <c r="G122" s="28" t="str">
        <f>'Owners Info'!L124</f>
        <v>EXPIRED</v>
      </c>
      <c r="H122" s="28" t="str">
        <f>'Owners Info'!C124</f>
        <v>ACTIVE</v>
      </c>
      <c r="I122" s="28" t="str">
        <f>'Owners Info'!M124</f>
        <v/>
      </c>
      <c r="J122" s="27" t="str">
        <f>'Owners Info'!G124</f>
        <v>rubyarroyo70@yahoo.com</v>
      </c>
      <c r="K122" s="15"/>
      <c r="L122" s="15">
        <v>122.0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36" t="str">
        <f t="shared" ref="A123:J123" si="2">#REF!</f>
        <v>#REF!</v>
      </c>
      <c r="B123" s="39" t="str">
        <f t="shared" si="2"/>
        <v>#REF!</v>
      </c>
      <c r="C123" s="39" t="str">
        <f t="shared" si="2"/>
        <v>#REF!</v>
      </c>
      <c r="D123" s="39" t="str">
        <f t="shared" si="2"/>
        <v>#REF!</v>
      </c>
      <c r="E123" s="43" t="str">
        <f t="shared" si="2"/>
        <v>#REF!</v>
      </c>
      <c r="F123" s="43" t="str">
        <f t="shared" si="2"/>
        <v>#REF!</v>
      </c>
      <c r="G123" s="46" t="str">
        <f t="shared" si="2"/>
        <v>#REF!</v>
      </c>
      <c r="H123" s="46" t="str">
        <f t="shared" si="2"/>
        <v>#REF!</v>
      </c>
      <c r="I123" s="46" t="str">
        <f t="shared" si="2"/>
        <v>#REF!</v>
      </c>
      <c r="J123" s="43" t="str">
        <f t="shared" si="2"/>
        <v>#REF!</v>
      </c>
      <c r="K123" s="36"/>
      <c r="L123" s="36">
        <v>123.0</v>
      </c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15" t="str">
        <f>'Owners Info'!A125</f>
        <v>WV Towers</v>
      </c>
      <c r="B124" s="20" t="str">
        <f>'Owners Info'!B125</f>
        <v>WV 10 T2 914</v>
      </c>
      <c r="C124" s="20" t="str">
        <f>'Owners Info'!F125</f>
        <v>Julius Barvilla</v>
      </c>
      <c r="D124" s="20" t="str">
        <f>'Owners Info'!I125</f>
        <v>75/25 Partner</v>
      </c>
      <c r="E124" s="26">
        <f>'Owners Info'!J125</f>
        <v>45779</v>
      </c>
      <c r="F124" s="26">
        <f>'Owners Info'!K125</f>
        <v>46144</v>
      </c>
      <c r="G124" s="28" t="str">
        <f>'Owners Info'!L125</f>
        <v>EXPIRED</v>
      </c>
      <c r="H124" s="28" t="str">
        <f>'Owners Info'!C125</f>
        <v>ACTIVE</v>
      </c>
      <c r="I124" s="79" t="str">
        <f>'Owners Info'!M125</f>
        <v>WV 10 T2 914 - BARAVILLA.pdf</v>
      </c>
      <c r="J124" s="27" t="str">
        <f>'Owners Info'!G125</f>
        <v>barvillaj@gmail.com</v>
      </c>
      <c r="K124" s="15"/>
      <c r="L124" s="15">
        <v>124.0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36" t="str">
        <f>'Owners Info'!A126</f>
        <v>WV Towers</v>
      </c>
      <c r="B125" s="39" t="str">
        <f>'Owners Info'!B126</f>
        <v>WV 19 T1 802</v>
      </c>
      <c r="C125" s="39" t="str">
        <f>'Owners Info'!F126</f>
        <v>Juzziel Magno</v>
      </c>
      <c r="D125" s="39" t="str">
        <f>'Owners Info'!I126</f>
        <v>75/25 Partner</v>
      </c>
      <c r="E125" s="41">
        <f>'Owners Info'!J126</f>
        <v>45628</v>
      </c>
      <c r="F125" s="41">
        <f>'Owners Info'!K126</f>
        <v>45993</v>
      </c>
      <c r="G125" s="46" t="str">
        <f>'Owners Info'!L126</f>
        <v>EXPIRED</v>
      </c>
      <c r="H125" s="46" t="str">
        <f>'Owners Info'!C126</f>
        <v>ACTIVE</v>
      </c>
      <c r="I125" s="127" t="str">
        <f>'Owners Info'!M126</f>
        <v>WV 19 T1 802 - MAGNO.pdf</v>
      </c>
      <c r="J125" s="43" t="str">
        <f>'Owners Info'!G126</f>
        <v>juzzy.magno@yahoo.com</v>
      </c>
      <c r="K125" s="36"/>
      <c r="L125" s="36">
        <v>125.0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15" t="str">
        <f>'Owners Info'!A127</f>
        <v>Avida Tower 1</v>
      </c>
      <c r="B126" s="20" t="str">
        <f>'Owners Info'!B127</f>
        <v>O T1 1507</v>
      </c>
      <c r="C126" s="20" t="str">
        <f>'Owners Info'!F127</f>
        <v>Yvonne Chiu</v>
      </c>
      <c r="D126" s="20" t="str">
        <f>'Owners Info'!I127</f>
        <v>Fixed</v>
      </c>
      <c r="E126" s="26">
        <f>'Owners Info'!J127</f>
        <v>45152</v>
      </c>
      <c r="F126" s="26" t="str">
        <f>'Owners Info'!K127</f>
        <v/>
      </c>
      <c r="G126" s="28" t="str">
        <f>'Owners Info'!L127</f>
        <v/>
      </c>
      <c r="H126" s="28" t="str">
        <f>'Owners Info'!C127</f>
        <v>ACTIVE</v>
      </c>
      <c r="I126" s="28" t="str">
        <f>'Owners Info'!M127</f>
        <v/>
      </c>
      <c r="J126" s="27" t="str">
        <f>'Owners Info'!G127</f>
        <v/>
      </c>
      <c r="K126" s="15"/>
      <c r="L126" s="15">
        <v>126.0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36" t="str">
        <f>'Owners Info'!A128</f>
        <v>Avida Tower 2</v>
      </c>
      <c r="B127" s="39" t="str">
        <f>'Owners Info'!B128</f>
        <v>K T2 708</v>
      </c>
      <c r="C127" s="39" t="str">
        <f>'Owners Info'!F128</f>
        <v>Kathreen Socorro Piamonte</v>
      </c>
      <c r="D127" s="39" t="str">
        <f>'Owners Info'!I128</f>
        <v>Fixed</v>
      </c>
      <c r="E127" s="41">
        <f>'Owners Info'!J128</f>
        <v>45092</v>
      </c>
      <c r="F127" s="41">
        <f>'Owners Info'!K128</f>
        <v>46188</v>
      </c>
      <c r="G127" s="46" t="str">
        <f>'Owners Info'!L128</f>
        <v>EXPIRED</v>
      </c>
      <c r="H127" s="46" t="str">
        <f>'Owners Info'!C128</f>
        <v>ACTIVE</v>
      </c>
      <c r="I127" s="46" t="str">
        <f>'Owners Info'!M128</f>
        <v/>
      </c>
      <c r="J127" s="43" t="str">
        <f>'Owners Info'!G128</f>
        <v/>
      </c>
      <c r="K127" s="36"/>
      <c r="L127" s="36">
        <v>127.0</v>
      </c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15" t="str">
        <f>'Owners Info'!A129</f>
        <v>Avida Tower 2</v>
      </c>
      <c r="B128" s="20" t="str">
        <f>'Owners Info'!B129</f>
        <v>R2 T2 1223</v>
      </c>
      <c r="C128" s="20" t="str">
        <f>'Owners Info'!F129</f>
        <v/>
      </c>
      <c r="D128" s="20" t="str">
        <f>'Owners Info'!I129</f>
        <v>Fixed</v>
      </c>
      <c r="E128" s="26" t="str">
        <f>'Owners Info'!J129</f>
        <v/>
      </c>
      <c r="F128" s="26" t="str">
        <f>'Owners Info'!K129</f>
        <v/>
      </c>
      <c r="G128" s="28" t="str">
        <f>'Owners Info'!L129</f>
        <v/>
      </c>
      <c r="H128" s="28" t="str">
        <f>'Owners Info'!C129</f>
        <v>ACTIVE</v>
      </c>
      <c r="I128" s="28" t="str">
        <f>'Owners Info'!M129</f>
        <v/>
      </c>
      <c r="J128" s="27" t="str">
        <f>'Owners Info'!G129</f>
        <v/>
      </c>
      <c r="K128" s="15"/>
      <c r="L128" s="15">
        <v>128.0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36" t="str">
        <f>'Owners Info'!A130</f>
        <v>Avida Tower 2</v>
      </c>
      <c r="B129" s="39" t="str">
        <f>'Owners Info'!B130</f>
        <v>W T2 1008</v>
      </c>
      <c r="C129" s="39" t="str">
        <f>'Owners Info'!F130</f>
        <v>Roy Sio</v>
      </c>
      <c r="D129" s="39" t="str">
        <f>'Owners Info'!I130</f>
        <v>Fixed</v>
      </c>
      <c r="E129" s="41" t="str">
        <f>'Owners Info'!J130</f>
        <v/>
      </c>
      <c r="F129" s="41" t="str">
        <f>'Owners Info'!K130</f>
        <v/>
      </c>
      <c r="G129" s="46" t="str">
        <f>'Owners Info'!L130</f>
        <v/>
      </c>
      <c r="H129" s="46" t="str">
        <f>'Owners Info'!C130</f>
        <v>ACTIVE</v>
      </c>
      <c r="I129" s="46" t="str">
        <f>'Owners Info'!M130</f>
        <v/>
      </c>
      <c r="J129" s="43" t="str">
        <f>'Owners Info'!G130</f>
        <v/>
      </c>
      <c r="K129" s="36"/>
      <c r="L129" s="36">
        <v>129.0</v>
      </c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15" t="str">
        <f>'Owners Info'!A131</f>
        <v>Avida Tower 3</v>
      </c>
      <c r="B130" s="20" t="str">
        <f>'Owners Info'!B131</f>
        <v>J T3 812</v>
      </c>
      <c r="C130" s="20" t="str">
        <f>'Owners Info'!F131</f>
        <v>Vincent Flaminian</v>
      </c>
      <c r="D130" s="20" t="str">
        <f>'Owners Info'!I131</f>
        <v>Fixed</v>
      </c>
      <c r="E130" s="26">
        <f>'Owners Info'!J131</f>
        <v>45092</v>
      </c>
      <c r="F130" s="27" t="str">
        <f>'Owners Info'!K131</f>
        <v>MISSING</v>
      </c>
      <c r="G130" s="28" t="str">
        <f>'Owners Info'!L131</f>
        <v>?</v>
      </c>
      <c r="H130" s="28" t="str">
        <f>'Owners Info'!C131</f>
        <v>ACTIVE</v>
      </c>
      <c r="I130" s="28" t="str">
        <f>'Owners Info'!M131</f>
        <v/>
      </c>
      <c r="J130" s="27" t="str">
        <f>'Owners Info'!G131</f>
        <v/>
      </c>
      <c r="K130" s="15"/>
      <c r="L130" s="15">
        <v>130.0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36" t="str">
        <f>'Owners Info'!A132</f>
        <v>Avida Tower 3</v>
      </c>
      <c r="B131" s="39" t="str">
        <f>'Owners Info'!B132</f>
        <v>M T3 610</v>
      </c>
      <c r="C131" s="39" t="str">
        <f>'Owners Info'!F132</f>
        <v>Vanessa Versola</v>
      </c>
      <c r="D131" s="39" t="str">
        <f>'Owners Info'!I132</f>
        <v>Fixed</v>
      </c>
      <c r="E131" s="41">
        <f>'Owners Info'!J132</f>
        <v>45100</v>
      </c>
      <c r="F131" s="41">
        <f>'Owners Info'!K132</f>
        <v>46196</v>
      </c>
      <c r="G131" s="46" t="str">
        <f>'Owners Info'!L132</f>
        <v>EXPIRED</v>
      </c>
      <c r="H131" s="46" t="str">
        <f>'Owners Info'!C132</f>
        <v>ACTIVE</v>
      </c>
      <c r="I131" s="46" t="str">
        <f>'Owners Info'!M132</f>
        <v/>
      </c>
      <c r="J131" s="43" t="str">
        <f>'Owners Info'!G132</f>
        <v/>
      </c>
      <c r="K131" s="36"/>
      <c r="L131" s="36">
        <v>131.0</v>
      </c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15" t="str">
        <f>'Owners Info'!A133</f>
        <v>Avida Tower 3</v>
      </c>
      <c r="B132" s="20" t="str">
        <f>'Owners Info'!B133</f>
        <v>V T3 909</v>
      </c>
      <c r="C132" s="20" t="str">
        <f>'Owners Info'!F133</f>
        <v>Meliton Bedia Oso</v>
      </c>
      <c r="D132" s="20" t="str">
        <f>'Owners Info'!I133</f>
        <v>Fixed</v>
      </c>
      <c r="E132" s="26" t="str">
        <f>'Owners Info'!J133</f>
        <v/>
      </c>
      <c r="F132" s="26" t="str">
        <f>'Owners Info'!K133</f>
        <v/>
      </c>
      <c r="G132" s="28" t="str">
        <f>'Owners Info'!L133</f>
        <v/>
      </c>
      <c r="H132" s="28" t="str">
        <f>'Owners Info'!C133</f>
        <v>ACTIVE</v>
      </c>
      <c r="I132" s="28" t="str">
        <f>'Owners Info'!M133</f>
        <v/>
      </c>
      <c r="J132" s="27" t="str">
        <f>'Owners Info'!G133</f>
        <v/>
      </c>
      <c r="K132" s="15"/>
      <c r="L132" s="15">
        <v>132.0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36" t="str">
        <f>'Owners Info'!A134</f>
        <v>Avida Tower 1</v>
      </c>
      <c r="B133" s="39" t="str">
        <f>'Owners Info'!B134</f>
        <v>G T1 1009</v>
      </c>
      <c r="C133" s="39" t="str">
        <f>'Owners Info'!F134</f>
        <v>Rony Armonio</v>
      </c>
      <c r="D133" s="39" t="str">
        <f>'Owners Info'!I134</f>
        <v>Fixed</v>
      </c>
      <c r="E133" s="41" t="str">
        <f>'Owners Info'!J134</f>
        <v/>
      </c>
      <c r="F133" s="41" t="str">
        <f>'Owners Info'!K134</f>
        <v/>
      </c>
      <c r="G133" s="46" t="str">
        <f>'Owners Info'!L134</f>
        <v>INACTIVE</v>
      </c>
      <c r="H133" s="46" t="str">
        <f>'Owners Info'!C134</f>
        <v>INACTIVE</v>
      </c>
      <c r="I133" s="46" t="str">
        <f>'Owners Info'!M134</f>
        <v/>
      </c>
      <c r="J133" s="43" t="str">
        <f>'Owners Info'!G134</f>
        <v/>
      </c>
      <c r="K133" s="36"/>
      <c r="L133" s="36">
        <v>133.0</v>
      </c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15" t="str">
        <f>'Owners Info'!A135</f>
        <v>Avida Tower 1</v>
      </c>
      <c r="B134" s="20" t="str">
        <f>'Owners Info'!B135</f>
        <v>L2 T1 605</v>
      </c>
      <c r="C134" s="20" t="str">
        <f>'Owners Info'!F135</f>
        <v>Raquel Sara</v>
      </c>
      <c r="D134" s="20" t="str">
        <f>'Owners Info'!I135</f>
        <v>Fixed</v>
      </c>
      <c r="E134" s="26" t="str">
        <f>'Owners Info'!J135</f>
        <v/>
      </c>
      <c r="F134" s="26" t="str">
        <f>'Owners Info'!K135</f>
        <v/>
      </c>
      <c r="G134" s="28" t="str">
        <f>'Owners Info'!L135</f>
        <v>INACTIVE</v>
      </c>
      <c r="H134" s="28" t="str">
        <f>'Owners Info'!C135</f>
        <v>INACTIVE</v>
      </c>
      <c r="I134" s="28" t="str">
        <f>'Owners Info'!M135</f>
        <v/>
      </c>
      <c r="J134" s="27" t="str">
        <f>'Owners Info'!G135</f>
        <v/>
      </c>
      <c r="K134" s="15"/>
      <c r="L134" s="15">
        <v>134.0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36" t="str">
        <f>'Owners Info'!A136</f>
        <v>Lafayette</v>
      </c>
      <c r="B135" s="39" t="str">
        <f>'Owners Info'!B136</f>
        <v>36 LPS 3T</v>
      </c>
      <c r="C135" s="39" t="str">
        <f>'Owners Info'!F136</f>
        <v/>
      </c>
      <c r="D135" s="39" t="str">
        <f>'Owners Info'!I136</f>
        <v/>
      </c>
      <c r="E135" s="41" t="str">
        <f>'Owners Info'!J136</f>
        <v/>
      </c>
      <c r="F135" s="41" t="str">
        <f>'Owners Info'!K136</f>
        <v/>
      </c>
      <c r="G135" s="46" t="str">
        <f>'Owners Info'!L136</f>
        <v>INACTIVE</v>
      </c>
      <c r="H135" s="46" t="str">
        <f>'Owners Info'!C136</f>
        <v>INACTIVE</v>
      </c>
      <c r="I135" s="84" t="str">
        <f>'Owners Info'!M136</f>
        <v>36 LPS 3T - MERCADO.pdf</v>
      </c>
      <c r="J135" s="43" t="str">
        <f>'Owners Info'!G136</f>
        <v/>
      </c>
      <c r="K135" s="36"/>
      <c r="L135" s="36">
        <v>135.0</v>
      </c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15" t="str">
        <f>'Owners Info'!A137</f>
        <v>One Spatial</v>
      </c>
      <c r="B136" s="20" t="str">
        <f>'Owners Info'!B137</f>
        <v>OS 3 1830</v>
      </c>
      <c r="C136" s="20" t="str">
        <f>'Owners Info'!F137</f>
        <v>Binas </v>
      </c>
      <c r="D136" s="20" t="str">
        <f>'Owners Info'!I137</f>
        <v/>
      </c>
      <c r="E136" s="26" t="str">
        <f>'Owners Info'!J137</f>
        <v/>
      </c>
      <c r="F136" s="26" t="str">
        <f>'Owners Info'!K137</f>
        <v/>
      </c>
      <c r="G136" s="28" t="str">
        <f>'Owners Info'!L137</f>
        <v>INACTIVE</v>
      </c>
      <c r="H136" s="28" t="str">
        <f>'Owners Info'!C137</f>
        <v>INACTIVE</v>
      </c>
      <c r="I136" s="28" t="str">
        <f>'Owners Info'!M137</f>
        <v/>
      </c>
      <c r="J136" s="27" t="str">
        <f>'Owners Info'!G137</f>
        <v/>
      </c>
      <c r="K136" s="15"/>
      <c r="L136" s="15">
        <v>136.0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36" t="str">
        <f>'Owners Info'!A138</f>
        <v>One Spatial</v>
      </c>
      <c r="B137" s="39" t="str">
        <f>'Owners Info'!B138</f>
        <v>OS # 2925</v>
      </c>
      <c r="C137" s="39" t="str">
        <f>'Owners Info'!F138</f>
        <v>Rechelle Palmes</v>
      </c>
      <c r="D137" s="39" t="str">
        <f>'Owners Info'!I138</f>
        <v>85/15 Partner</v>
      </c>
      <c r="E137" s="41">
        <f>'Owners Info'!J138</f>
        <v>45701</v>
      </c>
      <c r="F137" s="41">
        <f>'Owners Info'!K138</f>
        <v>46066</v>
      </c>
      <c r="G137" s="46" t="str">
        <f>'Owners Info'!L138</f>
        <v>EXPIRED</v>
      </c>
      <c r="H137" s="46" t="str">
        <f>'Owners Info'!C138</f>
        <v>ACTIVE</v>
      </c>
      <c r="I137" s="84" t="str">
        <f>'Owners Info'!M138</f>
        <v>OS # 2925 - PALMES.pdf</v>
      </c>
      <c r="J137" s="43" t="str">
        <f>'Owners Info'!G138</f>
        <v/>
      </c>
      <c r="K137" s="36"/>
      <c r="L137" s="36">
        <v>137.0</v>
      </c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15" t="str">
        <f>'Owners Info'!A139</f>
        <v>The Palladium</v>
      </c>
      <c r="B138" s="20" t="str">
        <f>'Owners Info'!B139</f>
        <v>9 TP NW 10E</v>
      </c>
      <c r="C138" s="20" t="str">
        <f>'Owners Info'!F139</f>
        <v>Jean Sumampong</v>
      </c>
      <c r="D138" s="20" t="str">
        <f>'Owners Info'!I139</f>
        <v>Partnership</v>
      </c>
      <c r="E138" s="26" t="str">
        <f>'Owners Info'!J139</f>
        <v/>
      </c>
      <c r="F138" s="26" t="str">
        <f>'Owners Info'!K139</f>
        <v/>
      </c>
      <c r="G138" s="28" t="str">
        <f>'Owners Info'!L139</f>
        <v/>
      </c>
      <c r="H138" s="28" t="str">
        <f>'Owners Info'!C139</f>
        <v>ACTIVE</v>
      </c>
      <c r="I138" s="28" t="str">
        <f>'Owners Info'!M139</f>
        <v/>
      </c>
      <c r="J138" s="27" t="str">
        <f>'Owners Info'!G139</f>
        <v/>
      </c>
      <c r="K138" s="15"/>
      <c r="L138" s="15">
        <v>138.0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36" t="str">
        <f>'Owners Info'!A140</f>
        <v>The Palladium</v>
      </c>
      <c r="B139" s="39" t="str">
        <f>'Owners Info'!B140</f>
        <v>10 TP SW 9E</v>
      </c>
      <c r="C139" s="39" t="str">
        <f>'Owners Info'!F140</f>
        <v>Arlene Tirador</v>
      </c>
      <c r="D139" s="39" t="str">
        <f>'Owners Info'!I140</f>
        <v>Partnership</v>
      </c>
      <c r="E139" s="41">
        <f>'Owners Info'!J140</f>
        <v>45413</v>
      </c>
      <c r="F139" s="41">
        <f>'Owners Info'!K140</f>
        <v>45778</v>
      </c>
      <c r="G139" s="46" t="str">
        <f>'Owners Info'!L140</f>
        <v>EXPIRED</v>
      </c>
      <c r="H139" s="46" t="str">
        <f>'Owners Info'!C140</f>
        <v>ACTIVE</v>
      </c>
      <c r="I139" s="84" t="str">
        <f>'Owners Info'!M140</f>
        <v>10 TP SW 9E - TIRADOR.pdf</v>
      </c>
      <c r="J139" s="43" t="str">
        <f>'Owners Info'!G140</f>
        <v/>
      </c>
      <c r="K139" s="36"/>
      <c r="L139" s="36">
        <v>139.0</v>
      </c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15" t="str">
        <f t="shared" ref="A140:J140" si="3">#REF!</f>
        <v>#REF!</v>
      </c>
      <c r="B140" s="20" t="str">
        <f t="shared" si="3"/>
        <v>#REF!</v>
      </c>
      <c r="C140" s="20" t="str">
        <f t="shared" si="3"/>
        <v>#REF!</v>
      </c>
      <c r="D140" s="20" t="str">
        <f t="shared" si="3"/>
        <v>#REF!</v>
      </c>
      <c r="E140" s="27" t="str">
        <f t="shared" si="3"/>
        <v>#REF!</v>
      </c>
      <c r="F140" s="27" t="str">
        <f t="shared" si="3"/>
        <v>#REF!</v>
      </c>
      <c r="G140" s="28" t="str">
        <f t="shared" si="3"/>
        <v>#REF!</v>
      </c>
      <c r="H140" s="28" t="str">
        <f t="shared" si="3"/>
        <v>#REF!</v>
      </c>
      <c r="I140" s="28" t="str">
        <f t="shared" si="3"/>
        <v>#REF!</v>
      </c>
      <c r="J140" s="27" t="str">
        <f t="shared" si="3"/>
        <v>#REF!</v>
      </c>
      <c r="K140" s="15"/>
      <c r="L140" s="15">
        <v>140.0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36" t="str">
        <f t="shared" ref="A141:J141" si="4">#REF!</f>
        <v>#REF!</v>
      </c>
      <c r="B141" s="39" t="str">
        <f t="shared" si="4"/>
        <v>#REF!</v>
      </c>
      <c r="C141" s="39" t="str">
        <f t="shared" si="4"/>
        <v>#REF!</v>
      </c>
      <c r="D141" s="39" t="str">
        <f t="shared" si="4"/>
        <v>#REF!</v>
      </c>
      <c r="E141" s="43" t="str">
        <f t="shared" si="4"/>
        <v>#REF!</v>
      </c>
      <c r="F141" s="43" t="str">
        <f t="shared" si="4"/>
        <v>#REF!</v>
      </c>
      <c r="G141" s="46" t="str">
        <f t="shared" si="4"/>
        <v>#REF!</v>
      </c>
      <c r="H141" s="46" t="str">
        <f t="shared" si="4"/>
        <v>#REF!</v>
      </c>
      <c r="I141" s="46" t="str">
        <f t="shared" si="4"/>
        <v>#REF!</v>
      </c>
      <c r="J141" s="43" t="str">
        <f t="shared" si="4"/>
        <v>#REF!</v>
      </c>
      <c r="K141" s="36"/>
      <c r="L141" s="36">
        <v>141.0</v>
      </c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15" t="str">
        <f>'Owners Info'!A141</f>
        <v/>
      </c>
      <c r="B142" s="20" t="str">
        <f>'Owners Info'!B141</f>
        <v/>
      </c>
      <c r="C142" s="20" t="str">
        <f>'Owners Info'!F141</f>
        <v/>
      </c>
      <c r="D142" s="20" t="str">
        <f>'Owners Info'!I141</f>
        <v/>
      </c>
      <c r="E142" s="26" t="str">
        <f>'Owners Info'!J141</f>
        <v/>
      </c>
      <c r="F142" s="26" t="str">
        <f>'Owners Info'!K141</f>
        <v/>
      </c>
      <c r="G142" s="28" t="str">
        <f>'Owners Info'!L141</f>
        <v/>
      </c>
      <c r="H142" s="28" t="str">
        <f>'Owners Info'!C141</f>
        <v/>
      </c>
      <c r="I142" s="28" t="str">
        <f>'Owners Info'!M141</f>
        <v/>
      </c>
      <c r="J142" s="27" t="str">
        <f>'Owners Info'!G141</f>
        <v/>
      </c>
      <c r="K142" s="15"/>
      <c r="L142" s="15">
        <v>142.0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36" t="str">
        <f>'Owners Info'!A142</f>
        <v/>
      </c>
      <c r="B143" s="39" t="str">
        <f>'Owners Info'!B142</f>
        <v/>
      </c>
      <c r="C143" s="39" t="str">
        <f>'Owners Info'!F142</f>
        <v/>
      </c>
      <c r="D143" s="39" t="str">
        <f>'Owners Info'!I142</f>
        <v/>
      </c>
      <c r="E143" s="41" t="str">
        <f>'Owners Info'!J142</f>
        <v/>
      </c>
      <c r="F143" s="41" t="str">
        <f>'Owners Info'!K142</f>
        <v/>
      </c>
      <c r="G143" s="46" t="str">
        <f>'Owners Info'!L142</f>
        <v/>
      </c>
      <c r="H143" s="46" t="str">
        <f>'Owners Info'!C142</f>
        <v/>
      </c>
      <c r="I143" s="46" t="str">
        <f>'Owners Info'!M142</f>
        <v/>
      </c>
      <c r="J143" s="43" t="str">
        <f>'Owners Info'!G142</f>
        <v/>
      </c>
      <c r="K143" s="36"/>
      <c r="L143" s="36">
        <v>143.0</v>
      </c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15" t="str">
        <f>'Owners Info'!A143</f>
        <v/>
      </c>
      <c r="B144" s="20" t="str">
        <f>'Owners Info'!B143</f>
        <v/>
      </c>
      <c r="C144" s="20" t="str">
        <f>'Owners Info'!F143</f>
        <v/>
      </c>
      <c r="D144" s="20" t="str">
        <f>'Owners Info'!I143</f>
        <v/>
      </c>
      <c r="E144" s="27" t="str">
        <f>'Owners Info'!J143</f>
        <v/>
      </c>
      <c r="F144" s="27" t="str">
        <f>'Owners Info'!K143</f>
        <v/>
      </c>
      <c r="G144" s="28" t="str">
        <f>'Owners Info'!L143</f>
        <v/>
      </c>
      <c r="H144" s="28" t="str">
        <f>'Owners Info'!C143</f>
        <v/>
      </c>
      <c r="I144" s="28" t="str">
        <f>'Owners Info'!M143</f>
        <v/>
      </c>
      <c r="J144" s="27" t="str">
        <f>'Owners Info'!G143</f>
        <v/>
      </c>
      <c r="K144" s="15"/>
      <c r="L144" s="15">
        <v>144.0</v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36" t="str">
        <f>'Owners Info'!A144</f>
        <v/>
      </c>
      <c r="B145" s="39" t="str">
        <f>'Owners Info'!B144</f>
        <v/>
      </c>
      <c r="C145" s="39" t="str">
        <f>'Owners Info'!F144</f>
        <v/>
      </c>
      <c r="D145" s="39" t="str">
        <f>'Owners Info'!I144</f>
        <v/>
      </c>
      <c r="E145" s="256" t="str">
        <f>'Owners Info'!J144</f>
        <v/>
      </c>
      <c r="F145" s="256" t="str">
        <f>'Owners Info'!K144</f>
        <v/>
      </c>
      <c r="G145" s="46" t="str">
        <f>'Owners Info'!L144</f>
        <v/>
      </c>
      <c r="H145" s="46" t="str">
        <f>'Owners Info'!C144</f>
        <v/>
      </c>
      <c r="I145" s="46" t="str">
        <f>'Owners Info'!M144</f>
        <v/>
      </c>
      <c r="J145" s="43" t="str">
        <f>'Owners Info'!G144</f>
        <v/>
      </c>
      <c r="K145" s="36"/>
      <c r="L145" s="36">
        <v>145.0</v>
      </c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15" t="str">
        <f>'Owners Info'!A145</f>
        <v/>
      </c>
      <c r="B146" s="20" t="str">
        <f>'Owners Info'!B145</f>
        <v/>
      </c>
      <c r="C146" s="20" t="str">
        <f>'Owners Info'!F145</f>
        <v/>
      </c>
      <c r="D146" s="20" t="str">
        <f>'Owners Info'!I145</f>
        <v/>
      </c>
      <c r="E146" s="257" t="str">
        <f>'Owners Info'!J145</f>
        <v/>
      </c>
      <c r="F146" s="257" t="str">
        <f>'Owners Info'!K145</f>
        <v/>
      </c>
      <c r="G146" s="28" t="str">
        <f>'Owners Info'!L145</f>
        <v/>
      </c>
      <c r="H146" s="28" t="str">
        <f>'Owners Info'!C145</f>
        <v/>
      </c>
      <c r="I146" s="28" t="str">
        <f>'Owners Info'!M145</f>
        <v/>
      </c>
      <c r="J146" s="27" t="str">
        <f>'Owners Info'!G145</f>
        <v/>
      </c>
      <c r="K146" s="15"/>
      <c r="L146" s="15">
        <v>146.0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36" t="str">
        <f>'Owners Info'!A146</f>
        <v/>
      </c>
      <c r="B147" s="39" t="str">
        <f>'Owners Info'!B146</f>
        <v/>
      </c>
      <c r="C147" s="39" t="str">
        <f>'Owners Info'!F146</f>
        <v/>
      </c>
      <c r="D147" s="39" t="str">
        <f>'Owners Info'!I146</f>
        <v/>
      </c>
      <c r="E147" s="43" t="str">
        <f>'Owners Info'!J146</f>
        <v/>
      </c>
      <c r="F147" s="43" t="str">
        <f>'Owners Info'!K146</f>
        <v/>
      </c>
      <c r="G147" s="46" t="str">
        <f>'Owners Info'!L146</f>
        <v/>
      </c>
      <c r="H147" s="46" t="str">
        <f>'Owners Info'!C146</f>
        <v/>
      </c>
      <c r="I147" s="46" t="str">
        <f>'Owners Info'!M146</f>
        <v/>
      </c>
      <c r="J147" s="43" t="str">
        <f>'Owners Info'!G146</f>
        <v/>
      </c>
      <c r="K147" s="36"/>
      <c r="L147" s="36">
        <v>147.0</v>
      </c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15" t="str">
        <f>'Owners Info'!A146</f>
        <v/>
      </c>
      <c r="B148" s="20" t="str">
        <f>'Owners Info'!B146</f>
        <v/>
      </c>
      <c r="C148" s="20" t="str">
        <f>'Owners Info'!F146</f>
        <v/>
      </c>
      <c r="D148" s="20" t="str">
        <f>'Owners Info'!I146</f>
        <v/>
      </c>
      <c r="E148" s="27" t="str">
        <f>'Owners Info'!J146</f>
        <v/>
      </c>
      <c r="F148" s="27" t="str">
        <f>'Owners Info'!K146</f>
        <v/>
      </c>
      <c r="G148" s="28" t="str">
        <f>'Owners Info'!L146</f>
        <v/>
      </c>
      <c r="H148" s="28" t="str">
        <f>'Owners Info'!C146</f>
        <v/>
      </c>
      <c r="I148" s="28" t="str">
        <f>'Owners Info'!M146</f>
        <v/>
      </c>
      <c r="J148" s="27" t="str">
        <f>'Owners Info'!G146</f>
        <v/>
      </c>
      <c r="K148" s="15"/>
      <c r="L148" s="15">
        <v>148.0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36" t="str">
        <f>'Owners Info'!A147</f>
        <v/>
      </c>
      <c r="B149" s="39" t="str">
        <f>'Owners Info'!B147</f>
        <v/>
      </c>
      <c r="C149" s="39" t="str">
        <f>'Owners Info'!F147</f>
        <v/>
      </c>
      <c r="D149" s="39" t="str">
        <f>'Owners Info'!I147</f>
        <v/>
      </c>
      <c r="E149" s="43" t="str">
        <f>'Owners Info'!J147</f>
        <v/>
      </c>
      <c r="F149" s="43" t="str">
        <f>'Owners Info'!K147</f>
        <v/>
      </c>
      <c r="G149" s="46" t="str">
        <f>'Owners Info'!L147</f>
        <v/>
      </c>
      <c r="H149" s="46" t="str">
        <f>'Owners Info'!C147</f>
        <v/>
      </c>
      <c r="I149" s="46" t="str">
        <f>'Owners Info'!M147</f>
        <v/>
      </c>
      <c r="J149" s="43" t="str">
        <f>'Owners Info'!G147</f>
        <v/>
      </c>
      <c r="K149" s="36"/>
      <c r="L149" s="36">
        <v>149.0</v>
      </c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15" t="str">
        <f>'Owners Info'!A148</f>
        <v/>
      </c>
      <c r="B150" s="20" t="str">
        <f>'Owners Info'!B148</f>
        <v/>
      </c>
      <c r="C150" s="20" t="str">
        <f>'Owners Info'!F148</f>
        <v/>
      </c>
      <c r="D150" s="20" t="str">
        <f>'Owners Info'!I148</f>
        <v/>
      </c>
      <c r="E150" s="27" t="str">
        <f>'Owners Info'!J148</f>
        <v/>
      </c>
      <c r="F150" s="27" t="str">
        <f>'Owners Info'!K148</f>
        <v/>
      </c>
      <c r="G150" s="28" t="str">
        <f>'Owners Info'!L148</f>
        <v/>
      </c>
      <c r="H150" s="28" t="str">
        <f>'Owners Info'!C148</f>
        <v/>
      </c>
      <c r="I150" s="28" t="str">
        <f>'Owners Info'!M148</f>
        <v/>
      </c>
      <c r="J150" s="27" t="str">
        <f>'Owners Info'!G148</f>
        <v/>
      </c>
      <c r="K150" s="15"/>
      <c r="L150" s="15">
        <v>150.0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36" t="str">
        <f>'Owners Info'!A149</f>
        <v/>
      </c>
      <c r="B151" s="39" t="str">
        <f>'Owners Info'!B149</f>
        <v/>
      </c>
      <c r="C151" s="39" t="str">
        <f>'Owners Info'!F149</f>
        <v/>
      </c>
      <c r="D151" s="39" t="str">
        <f>'Owners Info'!I149</f>
        <v/>
      </c>
      <c r="E151" s="43" t="str">
        <f>'Owners Info'!J149</f>
        <v/>
      </c>
      <c r="F151" s="43" t="str">
        <f>'Owners Info'!K149</f>
        <v/>
      </c>
      <c r="G151" s="46" t="str">
        <f>'Owners Info'!L149</f>
        <v/>
      </c>
      <c r="H151" s="46" t="str">
        <f>'Owners Info'!C149</f>
        <v/>
      </c>
      <c r="I151" s="46" t="str">
        <f>'Owners Info'!M149</f>
        <v/>
      </c>
      <c r="J151" s="43" t="str">
        <f>'Owners Info'!G149</f>
        <v/>
      </c>
      <c r="K151" s="36"/>
      <c r="L151" s="36">
        <v>151.0</v>
      </c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15" t="str">
        <f>'Owners Info'!A150</f>
        <v/>
      </c>
      <c r="B152" s="20" t="str">
        <f>'Owners Info'!B150</f>
        <v/>
      </c>
      <c r="C152" s="20" t="str">
        <f>'Owners Info'!F150</f>
        <v/>
      </c>
      <c r="D152" s="20" t="str">
        <f>'Owners Info'!I150</f>
        <v/>
      </c>
      <c r="E152" s="27" t="str">
        <f>'Owners Info'!J150</f>
        <v/>
      </c>
      <c r="F152" s="27" t="str">
        <f>'Owners Info'!K150</f>
        <v/>
      </c>
      <c r="G152" s="28" t="str">
        <f>'Owners Info'!L150</f>
        <v/>
      </c>
      <c r="H152" s="28" t="str">
        <f>'Owners Info'!C150</f>
        <v/>
      </c>
      <c r="I152" s="28" t="str">
        <f>'Owners Info'!M150</f>
        <v/>
      </c>
      <c r="J152" s="27" t="str">
        <f>'Owners Info'!G150</f>
        <v/>
      </c>
      <c r="K152" s="15"/>
      <c r="L152" s="15">
        <v>152.0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36" t="str">
        <f>'Owners Info'!A151</f>
        <v/>
      </c>
      <c r="B153" s="39" t="str">
        <f>'Owners Info'!B151</f>
        <v/>
      </c>
      <c r="C153" s="39" t="str">
        <f t="shared" ref="C153:C154" si="5">#REF!</f>
        <v>#REF!</v>
      </c>
      <c r="D153" s="39" t="str">
        <f>'Owners Info'!I151</f>
        <v/>
      </c>
      <c r="E153" s="43" t="str">
        <f>'Owners Info'!J151</f>
        <v/>
      </c>
      <c r="F153" s="43" t="str">
        <f>'Owners Info'!K151</f>
        <v/>
      </c>
      <c r="G153" s="46" t="str">
        <f>'Owners Info'!L151</f>
        <v/>
      </c>
      <c r="H153" s="46" t="str">
        <f>'Owners Info'!C151</f>
        <v/>
      </c>
      <c r="I153" s="46" t="str">
        <f>'Owners Info'!M151</f>
        <v/>
      </c>
      <c r="J153" s="43" t="str">
        <f>'Owners Info'!G151</f>
        <v/>
      </c>
      <c r="K153" s="36"/>
      <c r="L153" s="36">
        <v>153.0</v>
      </c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15" t="str">
        <f>'Owners Info'!A152</f>
        <v/>
      </c>
      <c r="B154" s="20" t="str">
        <f>'Owners Info'!B152</f>
        <v/>
      </c>
      <c r="C154" s="20" t="str">
        <f t="shared" si="5"/>
        <v>#REF!</v>
      </c>
      <c r="D154" s="20" t="str">
        <f>'Owners Info'!I152</f>
        <v/>
      </c>
      <c r="E154" s="27" t="str">
        <f>'Owners Info'!J152</f>
        <v/>
      </c>
      <c r="F154" s="27" t="str">
        <f>'Owners Info'!K152</f>
        <v/>
      </c>
      <c r="G154" s="28" t="str">
        <f>'Owners Info'!L152</f>
        <v/>
      </c>
      <c r="H154" s="28" t="str">
        <f>'Owners Info'!C152</f>
        <v/>
      </c>
      <c r="I154" s="28" t="str">
        <f>'Owners Info'!M152</f>
        <v/>
      </c>
      <c r="J154" s="27" t="str">
        <f>'Owners Info'!G152</f>
        <v/>
      </c>
      <c r="K154" s="15"/>
      <c r="L154" s="15">
        <v>154.0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36" t="str">
        <f>'Owners Info'!A141</f>
        <v/>
      </c>
      <c r="B155" s="39" t="str">
        <f>'Owners Info'!B141</f>
        <v/>
      </c>
      <c r="C155" s="39" t="str">
        <f>'Owners Info'!F141</f>
        <v/>
      </c>
      <c r="D155" s="39" t="str">
        <f>'Owners Info'!I141</f>
        <v/>
      </c>
      <c r="E155" s="41" t="str">
        <f>'Owners Info'!J141</f>
        <v/>
      </c>
      <c r="F155" s="41" t="str">
        <f>'Owners Info'!K141</f>
        <v/>
      </c>
      <c r="G155" s="46" t="str">
        <f>'Owners Info'!L141</f>
        <v/>
      </c>
      <c r="H155" s="46" t="str">
        <f>'Owners Info'!C141</f>
        <v/>
      </c>
      <c r="I155" s="46" t="str">
        <f>'Owners Info'!M141</f>
        <v/>
      </c>
      <c r="J155" s="43" t="str">
        <f>'Owners Info'!G141</f>
        <v/>
      </c>
      <c r="K155" s="36"/>
      <c r="L155" s="36">
        <v>155.0</v>
      </c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15" t="str">
        <f>'Owners Info'!A142</f>
        <v/>
      </c>
      <c r="B156" s="20" t="str">
        <f>'Owners Info'!B142</f>
        <v/>
      </c>
      <c r="C156" s="20" t="str">
        <f>'Owners Info'!F142</f>
        <v/>
      </c>
      <c r="D156" s="20" t="str">
        <f>'Owners Info'!I142</f>
        <v/>
      </c>
      <c r="E156" s="26" t="str">
        <f>'Owners Info'!J142</f>
        <v/>
      </c>
      <c r="F156" s="26" t="str">
        <f>'Owners Info'!K142</f>
        <v/>
      </c>
      <c r="G156" s="28" t="str">
        <f>'Owners Info'!L142</f>
        <v/>
      </c>
      <c r="H156" s="28" t="str">
        <f>'Owners Info'!C142</f>
        <v/>
      </c>
      <c r="I156" s="28" t="str">
        <f>'Owners Info'!M142</f>
        <v/>
      </c>
      <c r="J156" s="27" t="str">
        <f>'Owners Info'!G142</f>
        <v/>
      </c>
      <c r="K156" s="15"/>
      <c r="L156" s="15">
        <v>156.0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36" t="str">
        <f>'Owners Info'!A143</f>
        <v/>
      </c>
      <c r="B157" s="39" t="str">
        <f>'Owners Info'!B143</f>
        <v/>
      </c>
      <c r="C157" s="39" t="str">
        <f>'Owners Info'!F143</f>
        <v/>
      </c>
      <c r="D157" s="39" t="str">
        <f>'Owners Info'!I143</f>
        <v/>
      </c>
      <c r="E157" s="43" t="str">
        <f>'Owners Info'!J143</f>
        <v/>
      </c>
      <c r="F157" s="43" t="str">
        <f>'Owners Info'!K143</f>
        <v/>
      </c>
      <c r="G157" s="46" t="str">
        <f>'Owners Info'!L143</f>
        <v/>
      </c>
      <c r="H157" s="46" t="str">
        <f>'Owners Info'!C143</f>
        <v/>
      </c>
      <c r="I157" s="46" t="str">
        <f>'Owners Info'!M143</f>
        <v/>
      </c>
      <c r="J157" s="43" t="str">
        <f>'Owners Info'!G143</f>
        <v/>
      </c>
      <c r="K157" s="36"/>
      <c r="L157" s="36">
        <v>157.0</v>
      </c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15" t="str">
        <f>'Owners Info'!A144</f>
        <v/>
      </c>
      <c r="B158" s="20" t="str">
        <f>'Owners Info'!B144</f>
        <v/>
      </c>
      <c r="C158" s="20" t="str">
        <f>'Owners Info'!F144</f>
        <v/>
      </c>
      <c r="D158" s="20" t="str">
        <f>'Owners Info'!I144</f>
        <v/>
      </c>
      <c r="E158" s="257" t="str">
        <f>'Owners Info'!J144</f>
        <v/>
      </c>
      <c r="F158" s="257" t="str">
        <f>'Owners Info'!K144</f>
        <v/>
      </c>
      <c r="G158" s="28" t="str">
        <f>'Owners Info'!L144</f>
        <v/>
      </c>
      <c r="H158" s="28" t="str">
        <f>'Owners Info'!C144</f>
        <v/>
      </c>
      <c r="I158" s="28" t="str">
        <f>'Owners Info'!M144</f>
        <v/>
      </c>
      <c r="J158" s="27" t="str">
        <f>'Owners Info'!G144</f>
        <v/>
      </c>
      <c r="K158" s="15"/>
      <c r="L158" s="15">
        <v>158.0</v>
      </c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36" t="str">
        <f>'Owners Info'!A145</f>
        <v/>
      </c>
      <c r="B159" s="39" t="str">
        <f>'Owners Info'!B145</f>
        <v/>
      </c>
      <c r="C159" s="39" t="str">
        <f>'Owners Info'!F145</f>
        <v/>
      </c>
      <c r="D159" s="39" t="str">
        <f>'Owners Info'!I145</f>
        <v/>
      </c>
      <c r="E159" s="256" t="str">
        <f>'Owners Info'!J145</f>
        <v/>
      </c>
      <c r="F159" s="256" t="str">
        <f>'Owners Info'!K145</f>
        <v/>
      </c>
      <c r="G159" s="46" t="str">
        <f>'Owners Info'!L145</f>
        <v/>
      </c>
      <c r="H159" s="46" t="str">
        <f>'Owners Info'!C145</f>
        <v/>
      </c>
      <c r="I159" s="46" t="str">
        <f>'Owners Info'!M145</f>
        <v/>
      </c>
      <c r="J159" s="43" t="str">
        <f>'Owners Info'!G145</f>
        <v/>
      </c>
      <c r="K159" s="36"/>
      <c r="L159" s="36">
        <v>159.0</v>
      </c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15" t="str">
        <f>'Owners Info'!A146</f>
        <v/>
      </c>
      <c r="B160" s="20" t="str">
        <f>'Owners Info'!B146</f>
        <v/>
      </c>
      <c r="C160" s="20" t="str">
        <f>'Owners Info'!F146</f>
        <v/>
      </c>
      <c r="D160" s="20" t="str">
        <f>'Owners Info'!I146</f>
        <v/>
      </c>
      <c r="E160" s="27" t="str">
        <f>'Owners Info'!J146</f>
        <v/>
      </c>
      <c r="F160" s="27" t="str">
        <f>'Owners Info'!K146</f>
        <v/>
      </c>
      <c r="G160" s="28" t="str">
        <f>'Owners Info'!L146</f>
        <v/>
      </c>
      <c r="H160" s="28" t="str">
        <f>'Owners Info'!C146</f>
        <v/>
      </c>
      <c r="I160" s="28" t="str">
        <f>'Owners Info'!M146</f>
        <v/>
      </c>
      <c r="J160" s="27" t="str">
        <f>'Owners Info'!G146</f>
        <v/>
      </c>
      <c r="K160" s="15"/>
      <c r="L160" s="15">
        <v>160.0</v>
      </c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36" t="str">
        <f>'Owners Info'!A147</f>
        <v/>
      </c>
      <c r="B161" s="39" t="str">
        <f>'Owners Info'!B147</f>
        <v/>
      </c>
      <c r="C161" s="39" t="str">
        <f>'Owners Info'!F147</f>
        <v/>
      </c>
      <c r="D161" s="39" t="str">
        <f>'Owners Info'!I147</f>
        <v/>
      </c>
      <c r="E161" s="43" t="str">
        <f>'Owners Info'!J147</f>
        <v/>
      </c>
      <c r="F161" s="43" t="str">
        <f>'Owners Info'!K147</f>
        <v/>
      </c>
      <c r="G161" s="46" t="str">
        <f>'Owners Info'!L147</f>
        <v/>
      </c>
      <c r="H161" s="46" t="str">
        <f>'Owners Info'!C147</f>
        <v/>
      </c>
      <c r="I161" s="46" t="str">
        <f>'Owners Info'!M147</f>
        <v/>
      </c>
      <c r="J161" s="43" t="str">
        <f>'Owners Info'!G147</f>
        <v/>
      </c>
      <c r="K161" s="36"/>
      <c r="L161" s="36">
        <v>161.0</v>
      </c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15" t="str">
        <f>'Owners Info'!A148</f>
        <v/>
      </c>
      <c r="B162" s="20" t="str">
        <f>'Owners Info'!B148</f>
        <v/>
      </c>
      <c r="C162" s="20" t="str">
        <f>'Owners Info'!F148</f>
        <v/>
      </c>
      <c r="D162" s="20" t="str">
        <f>'Owners Info'!I148</f>
        <v/>
      </c>
      <c r="E162" s="27" t="str">
        <f>'Owners Info'!J148</f>
        <v/>
      </c>
      <c r="F162" s="27" t="str">
        <f>'Owners Info'!K148</f>
        <v/>
      </c>
      <c r="G162" s="28" t="str">
        <f>'Owners Info'!L148</f>
        <v/>
      </c>
      <c r="H162" s="28" t="str">
        <f>'Owners Info'!C148</f>
        <v/>
      </c>
      <c r="I162" s="28" t="str">
        <f>'Owners Info'!M148</f>
        <v/>
      </c>
      <c r="J162" s="27" t="str">
        <f>'Owners Info'!G148</f>
        <v/>
      </c>
      <c r="K162" s="15"/>
      <c r="L162" s="15">
        <v>162.0</v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36" t="str">
        <f>'Owners Info'!A149</f>
        <v/>
      </c>
      <c r="B163" s="39" t="str">
        <f>'Owners Info'!B149</f>
        <v/>
      </c>
      <c r="C163" s="39" t="str">
        <f>'Owners Info'!F149</f>
        <v/>
      </c>
      <c r="D163" s="39" t="str">
        <f>'Owners Info'!I149</f>
        <v/>
      </c>
      <c r="E163" s="43" t="str">
        <f>'Owners Info'!J149</f>
        <v/>
      </c>
      <c r="F163" s="43" t="str">
        <f>'Owners Info'!K149</f>
        <v/>
      </c>
      <c r="G163" s="46" t="str">
        <f>'Owners Info'!L149</f>
        <v/>
      </c>
      <c r="H163" s="46" t="str">
        <f>'Owners Info'!C149</f>
        <v/>
      </c>
      <c r="I163" s="46" t="str">
        <f>'Owners Info'!M149</f>
        <v/>
      </c>
      <c r="J163" s="43" t="str">
        <f>'Owners Info'!G149</f>
        <v/>
      </c>
      <c r="K163" s="36"/>
      <c r="L163" s="36">
        <v>163.0</v>
      </c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15" t="str">
        <f>'Owners Info'!A150</f>
        <v/>
      </c>
      <c r="B164" s="20" t="str">
        <f>'Owners Info'!B150</f>
        <v/>
      </c>
      <c r="C164" s="20" t="str">
        <f>'Owners Info'!F150</f>
        <v/>
      </c>
      <c r="D164" s="20" t="str">
        <f>'Owners Info'!I150</f>
        <v/>
      </c>
      <c r="E164" s="27" t="str">
        <f>'Owners Info'!J150</f>
        <v/>
      </c>
      <c r="F164" s="27" t="str">
        <f>'Owners Info'!K150</f>
        <v/>
      </c>
      <c r="G164" s="28" t="str">
        <f>'Owners Info'!L150</f>
        <v/>
      </c>
      <c r="H164" s="28" t="str">
        <f>'Owners Info'!C150</f>
        <v/>
      </c>
      <c r="I164" s="28" t="str">
        <f>'Owners Info'!M150</f>
        <v/>
      </c>
      <c r="J164" s="27" t="str">
        <f>'Owners Info'!G150</f>
        <v/>
      </c>
      <c r="K164" s="15"/>
      <c r="L164" s="15">
        <v>164.0</v>
      </c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36" t="str">
        <f>'Owners Info'!A151</f>
        <v/>
      </c>
      <c r="B165" s="39" t="str">
        <f>'Owners Info'!B151</f>
        <v/>
      </c>
      <c r="C165" s="39" t="str">
        <f>'Owners Info'!F151</f>
        <v/>
      </c>
      <c r="D165" s="39" t="str">
        <f>'Owners Info'!I151</f>
        <v/>
      </c>
      <c r="E165" s="43" t="str">
        <f>'Owners Info'!J151</f>
        <v/>
      </c>
      <c r="F165" s="43" t="str">
        <f>'Owners Info'!K151</f>
        <v/>
      </c>
      <c r="G165" s="46" t="str">
        <f>'Owners Info'!L151</f>
        <v/>
      </c>
      <c r="H165" s="46" t="str">
        <f>'Owners Info'!C151</f>
        <v/>
      </c>
      <c r="I165" s="46" t="str">
        <f>'Owners Info'!M151</f>
        <v/>
      </c>
      <c r="J165" s="43" t="str">
        <f>'Owners Info'!G151</f>
        <v/>
      </c>
      <c r="K165" s="36"/>
      <c r="L165" s="36">
        <v>165.0</v>
      </c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15" t="str">
        <f>'Owners Info'!A152</f>
        <v/>
      </c>
      <c r="B166" s="20" t="str">
        <f>'Owners Info'!B152</f>
        <v/>
      </c>
      <c r="C166" s="20" t="str">
        <f>'Owners Info'!F152</f>
        <v/>
      </c>
      <c r="D166" s="20" t="str">
        <f>'Owners Info'!I152</f>
        <v/>
      </c>
      <c r="E166" s="27" t="str">
        <f>'Owners Info'!J152</f>
        <v/>
      </c>
      <c r="F166" s="27" t="str">
        <f>'Owners Info'!K152</f>
        <v/>
      </c>
      <c r="G166" s="28" t="str">
        <f>'Owners Info'!L152</f>
        <v/>
      </c>
      <c r="H166" s="28" t="str">
        <f>'Owners Info'!C152</f>
        <v/>
      </c>
      <c r="I166" s="28" t="str">
        <f>'Owners Info'!M152</f>
        <v/>
      </c>
      <c r="J166" s="27" t="str">
        <f>'Owners Info'!G152</f>
        <v/>
      </c>
      <c r="K166" s="15"/>
      <c r="L166" s="15">
        <v>166.0</v>
      </c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36" t="str">
        <f>'Owners Info'!A153</f>
        <v/>
      </c>
      <c r="B167" s="39" t="str">
        <f>'Owners Info'!B153</f>
        <v/>
      </c>
      <c r="C167" s="39" t="str">
        <f>'Owners Info'!F153</f>
        <v/>
      </c>
      <c r="D167" s="39" t="str">
        <f>'Owners Info'!I153</f>
        <v/>
      </c>
      <c r="E167" s="43" t="str">
        <f>'Owners Info'!J153</f>
        <v/>
      </c>
      <c r="F167" s="43" t="str">
        <f>'Owners Info'!K153</f>
        <v/>
      </c>
      <c r="G167" s="46" t="str">
        <f>'Owners Info'!L153</f>
        <v/>
      </c>
      <c r="H167" s="46" t="str">
        <f>'Owners Info'!C153</f>
        <v/>
      </c>
      <c r="I167" s="46" t="str">
        <f>'Owners Info'!M153</f>
        <v/>
      </c>
      <c r="J167" s="43" t="str">
        <f>'Owners Info'!G153</f>
        <v/>
      </c>
      <c r="K167" s="36"/>
      <c r="L167" s="36">
        <v>167.0</v>
      </c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15" t="str">
        <f>'Owners Info'!A154</f>
        <v/>
      </c>
      <c r="B168" s="20" t="str">
        <f>'Owners Info'!B154</f>
        <v/>
      </c>
      <c r="C168" s="20" t="str">
        <f>'Owners Info'!F154</f>
        <v/>
      </c>
      <c r="D168" s="20" t="str">
        <f>'Owners Info'!I154</f>
        <v/>
      </c>
      <c r="E168" s="27" t="str">
        <f>'Owners Info'!J154</f>
        <v/>
      </c>
      <c r="F168" s="27" t="str">
        <f>'Owners Info'!K154</f>
        <v/>
      </c>
      <c r="G168" s="28" t="str">
        <f>'Owners Info'!L154</f>
        <v/>
      </c>
      <c r="H168" s="28" t="str">
        <f>'Owners Info'!C154</f>
        <v/>
      </c>
      <c r="I168" s="28" t="str">
        <f>'Owners Info'!M154</f>
        <v/>
      </c>
      <c r="J168" s="27" t="str">
        <f>'Owners Info'!G154</f>
        <v/>
      </c>
      <c r="K168" s="15"/>
      <c r="L168" s="15">
        <v>168.0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36" t="str">
        <f>'Owners Info'!A155</f>
        <v/>
      </c>
      <c r="B169" s="39" t="str">
        <f>'Owners Info'!B155</f>
        <v/>
      </c>
      <c r="C169" s="39" t="str">
        <f>'Owners Info'!F155</f>
        <v/>
      </c>
      <c r="D169" s="39" t="str">
        <f>'Owners Info'!I155</f>
        <v/>
      </c>
      <c r="E169" s="43" t="str">
        <f>'Owners Info'!J155</f>
        <v/>
      </c>
      <c r="F169" s="43" t="str">
        <f>'Owners Info'!K155</f>
        <v/>
      </c>
      <c r="G169" s="46" t="str">
        <f>'Owners Info'!L155</f>
        <v/>
      </c>
      <c r="H169" s="46" t="str">
        <f>'Owners Info'!C155</f>
        <v/>
      </c>
      <c r="I169" s="46" t="str">
        <f>'Owners Info'!M155</f>
        <v/>
      </c>
      <c r="J169" s="43" t="str">
        <f>'Owners Info'!G155</f>
        <v/>
      </c>
      <c r="K169" s="36"/>
      <c r="L169" s="36">
        <v>169.0</v>
      </c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15" t="str">
        <f>'Owners Info'!A156</f>
        <v/>
      </c>
      <c r="B170" s="20" t="str">
        <f>'Owners Info'!B156</f>
        <v/>
      </c>
      <c r="C170" s="20" t="str">
        <f>'Owners Info'!F156</f>
        <v/>
      </c>
      <c r="D170" s="20" t="str">
        <f>'Owners Info'!I156</f>
        <v/>
      </c>
      <c r="E170" s="27" t="str">
        <f>'Owners Info'!J156</f>
        <v/>
      </c>
      <c r="F170" s="27" t="str">
        <f>'Owners Info'!K156</f>
        <v/>
      </c>
      <c r="G170" s="28" t="str">
        <f>'Owners Info'!L156</f>
        <v/>
      </c>
      <c r="H170" s="28" t="str">
        <f>'Owners Info'!C156</f>
        <v/>
      </c>
      <c r="I170" s="28" t="str">
        <f>'Owners Info'!M156</f>
        <v/>
      </c>
      <c r="J170" s="27" t="str">
        <f>'Owners Info'!G156</f>
        <v/>
      </c>
      <c r="K170" s="15"/>
      <c r="L170" s="15">
        <v>170.0</v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36" t="str">
        <f>'Owners Info'!A157</f>
        <v/>
      </c>
      <c r="B171" s="39" t="str">
        <f>'Owners Info'!B157</f>
        <v/>
      </c>
      <c r="C171" s="39" t="str">
        <f>'Owners Info'!F157</f>
        <v/>
      </c>
      <c r="D171" s="39" t="str">
        <f>'Owners Info'!I157</f>
        <v/>
      </c>
      <c r="E171" s="43" t="str">
        <f>'Owners Info'!J157</f>
        <v/>
      </c>
      <c r="F171" s="43" t="str">
        <f>'Owners Info'!K157</f>
        <v/>
      </c>
      <c r="G171" s="46" t="str">
        <f>'Owners Info'!L157</f>
        <v/>
      </c>
      <c r="H171" s="46" t="str">
        <f>'Owners Info'!C157</f>
        <v/>
      </c>
      <c r="I171" s="46" t="str">
        <f>'Owners Info'!M157</f>
        <v/>
      </c>
      <c r="J171" s="43" t="str">
        <f>'Owners Info'!G157</f>
        <v/>
      </c>
      <c r="K171" s="36"/>
      <c r="L171" s="36">
        <v>171.0</v>
      </c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15" t="str">
        <f>'Owners Info'!A158</f>
        <v/>
      </c>
      <c r="B172" s="20" t="str">
        <f>'Owners Info'!B158</f>
        <v/>
      </c>
      <c r="C172" s="20" t="str">
        <f>'Owners Info'!F158</f>
        <v/>
      </c>
      <c r="D172" s="20" t="str">
        <f>'Owners Info'!I158</f>
        <v/>
      </c>
      <c r="E172" s="27" t="str">
        <f>'Owners Info'!J158</f>
        <v/>
      </c>
      <c r="F172" s="27" t="str">
        <f>'Owners Info'!K158</f>
        <v/>
      </c>
      <c r="G172" s="28" t="str">
        <f>'Owners Info'!L158</f>
        <v/>
      </c>
      <c r="H172" s="28" t="str">
        <f>'Owners Info'!C158</f>
        <v/>
      </c>
      <c r="I172" s="28" t="str">
        <f>'Owners Info'!M158</f>
        <v/>
      </c>
      <c r="J172" s="27" t="str">
        <f>'Owners Info'!G158</f>
        <v/>
      </c>
      <c r="K172" s="15"/>
      <c r="L172" s="15">
        <v>172.0</v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36" t="str">
        <f>'Owners Info'!A159</f>
        <v/>
      </c>
      <c r="B173" s="39" t="str">
        <f>'Owners Info'!B159</f>
        <v/>
      </c>
      <c r="C173" s="39" t="str">
        <f>'Owners Info'!F159</f>
        <v/>
      </c>
      <c r="D173" s="39" t="str">
        <f>'Owners Info'!I159</f>
        <v/>
      </c>
      <c r="E173" s="43" t="str">
        <f>'Owners Info'!J159</f>
        <v/>
      </c>
      <c r="F173" s="43" t="str">
        <f>'Owners Info'!K159</f>
        <v/>
      </c>
      <c r="G173" s="46" t="str">
        <f>'Owners Info'!L159</f>
        <v/>
      </c>
      <c r="H173" s="46" t="str">
        <f>'Owners Info'!C159</f>
        <v/>
      </c>
      <c r="I173" s="46" t="str">
        <f>'Owners Info'!M159</f>
        <v/>
      </c>
      <c r="J173" s="43" t="str">
        <f>'Owners Info'!G159</f>
        <v/>
      </c>
      <c r="K173" s="36"/>
      <c r="L173" s="36">
        <v>173.0</v>
      </c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15" t="str">
        <f>'Owners Info'!A160</f>
        <v/>
      </c>
      <c r="B174" s="20" t="str">
        <f>'Owners Info'!B160</f>
        <v/>
      </c>
      <c r="C174" s="20" t="str">
        <f>'Owners Info'!F160</f>
        <v/>
      </c>
      <c r="D174" s="20" t="str">
        <f>'Owners Info'!I160</f>
        <v/>
      </c>
      <c r="E174" s="27" t="str">
        <f>'Owners Info'!J160</f>
        <v/>
      </c>
      <c r="F174" s="27" t="str">
        <f>'Owners Info'!K160</f>
        <v/>
      </c>
      <c r="G174" s="28" t="str">
        <f>'Owners Info'!L160</f>
        <v/>
      </c>
      <c r="H174" s="28" t="str">
        <f>'Owners Info'!C160</f>
        <v/>
      </c>
      <c r="I174" s="28" t="str">
        <f>'Owners Info'!M160</f>
        <v/>
      </c>
      <c r="J174" s="27" t="str">
        <f>'Owners Info'!G160</f>
        <v/>
      </c>
      <c r="K174" s="15"/>
      <c r="L174" s="15">
        <v>174.0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36" t="str">
        <f>'Owners Info'!A161</f>
        <v/>
      </c>
      <c r="B175" s="39" t="str">
        <f>'Owners Info'!B161</f>
        <v/>
      </c>
      <c r="C175" s="39" t="str">
        <f>'Owners Info'!F161</f>
        <v/>
      </c>
      <c r="D175" s="39" t="str">
        <f>'Owners Info'!I161</f>
        <v/>
      </c>
      <c r="E175" s="43" t="str">
        <f>'Owners Info'!J161</f>
        <v/>
      </c>
      <c r="F175" s="43" t="str">
        <f>'Owners Info'!K161</f>
        <v/>
      </c>
      <c r="G175" s="46" t="str">
        <f>'Owners Info'!L161</f>
        <v/>
      </c>
      <c r="H175" s="46" t="str">
        <f>'Owners Info'!C161</f>
        <v/>
      </c>
      <c r="I175" s="46" t="str">
        <f>'Owners Info'!M161</f>
        <v/>
      </c>
      <c r="J175" s="43" t="str">
        <f>'Owners Info'!G161</f>
        <v/>
      </c>
      <c r="K175" s="36"/>
      <c r="L175" s="36">
        <v>175.0</v>
      </c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15" t="str">
        <f>'Owners Info'!A162</f>
        <v/>
      </c>
      <c r="B176" s="20" t="str">
        <f>'Owners Info'!B162</f>
        <v/>
      </c>
      <c r="C176" s="20" t="str">
        <f>'Owners Info'!F162</f>
        <v/>
      </c>
      <c r="D176" s="20" t="str">
        <f>'Owners Info'!I162</f>
        <v/>
      </c>
      <c r="E176" s="27" t="str">
        <f>'Owners Info'!J162</f>
        <v/>
      </c>
      <c r="F176" s="27" t="str">
        <f>'Owners Info'!K162</f>
        <v/>
      </c>
      <c r="G176" s="28" t="str">
        <f>'Owners Info'!L162</f>
        <v/>
      </c>
      <c r="H176" s="28" t="str">
        <f>'Owners Info'!C162</f>
        <v/>
      </c>
      <c r="I176" s="28" t="str">
        <f>'Owners Info'!M162</f>
        <v/>
      </c>
      <c r="J176" s="27" t="str">
        <f>'Owners Info'!G162</f>
        <v/>
      </c>
      <c r="K176" s="15"/>
      <c r="L176" s="15">
        <v>176.0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36" t="str">
        <f>'Owners Info'!A163</f>
        <v/>
      </c>
      <c r="B177" s="39" t="str">
        <f>'Owners Info'!B163</f>
        <v/>
      </c>
      <c r="C177" s="39" t="str">
        <f>'Owners Info'!F163</f>
        <v/>
      </c>
      <c r="D177" s="39" t="str">
        <f>'Owners Info'!I163</f>
        <v/>
      </c>
      <c r="E177" s="43" t="str">
        <f>'Owners Info'!J163</f>
        <v/>
      </c>
      <c r="F177" s="43" t="str">
        <f>'Owners Info'!K163</f>
        <v/>
      </c>
      <c r="G177" s="46" t="str">
        <f>'Owners Info'!L163</f>
        <v/>
      </c>
      <c r="H177" s="46" t="str">
        <f>'Owners Info'!C163</f>
        <v/>
      </c>
      <c r="I177" s="46" t="str">
        <f>'Owners Info'!M163</f>
        <v/>
      </c>
      <c r="J177" s="43" t="str">
        <f>'Owners Info'!G163</f>
        <v/>
      </c>
      <c r="K177" s="36"/>
      <c r="L177" s="36">
        <v>177.0</v>
      </c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15" t="str">
        <f>'Owners Info'!A164</f>
        <v/>
      </c>
      <c r="B178" s="20" t="str">
        <f>'Owners Info'!B164</f>
        <v/>
      </c>
      <c r="C178" s="20" t="str">
        <f>'Owners Info'!F164</f>
        <v/>
      </c>
      <c r="D178" s="20" t="str">
        <f>'Owners Info'!I164</f>
        <v/>
      </c>
      <c r="E178" s="27" t="str">
        <f>'Owners Info'!J164</f>
        <v/>
      </c>
      <c r="F178" s="27" t="str">
        <f>'Owners Info'!K164</f>
        <v/>
      </c>
      <c r="G178" s="28" t="str">
        <f>'Owners Info'!L164</f>
        <v/>
      </c>
      <c r="H178" s="28" t="str">
        <f>'Owners Info'!C164</f>
        <v/>
      </c>
      <c r="I178" s="28" t="str">
        <f>'Owners Info'!M164</f>
        <v/>
      </c>
      <c r="J178" s="27" t="str">
        <f>'Owners Info'!G164</f>
        <v/>
      </c>
      <c r="K178" s="15"/>
      <c r="L178" s="15">
        <v>178.0</v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36" t="str">
        <f>'Owners Info'!A165</f>
        <v/>
      </c>
      <c r="B179" s="39" t="str">
        <f>'Owners Info'!B165</f>
        <v/>
      </c>
      <c r="C179" s="39" t="str">
        <f>'Owners Info'!F165</f>
        <v/>
      </c>
      <c r="D179" s="39" t="str">
        <f>'Owners Info'!I165</f>
        <v/>
      </c>
      <c r="E179" s="43" t="str">
        <f>'Owners Info'!J165</f>
        <v/>
      </c>
      <c r="F179" s="43" t="str">
        <f>'Owners Info'!K165</f>
        <v/>
      </c>
      <c r="G179" s="46" t="str">
        <f>'Owners Info'!L165</f>
        <v/>
      </c>
      <c r="H179" s="46" t="str">
        <f>'Owners Info'!C165</f>
        <v/>
      </c>
      <c r="I179" s="46" t="str">
        <f>'Owners Info'!M165</f>
        <v/>
      </c>
      <c r="J179" s="43" t="str">
        <f>'Owners Info'!G165</f>
        <v/>
      </c>
      <c r="K179" s="36"/>
      <c r="L179" s="36">
        <v>179.0</v>
      </c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15" t="str">
        <f>'Owners Info'!A166</f>
        <v/>
      </c>
      <c r="B180" s="20" t="str">
        <f>'Owners Info'!B166</f>
        <v/>
      </c>
      <c r="C180" s="20" t="str">
        <f>'Owners Info'!F166</f>
        <v/>
      </c>
      <c r="D180" s="20" t="str">
        <f>'Owners Info'!I166</f>
        <v/>
      </c>
      <c r="E180" s="27" t="str">
        <f>'Owners Info'!J166</f>
        <v/>
      </c>
      <c r="F180" s="27" t="str">
        <f>'Owners Info'!K166</f>
        <v/>
      </c>
      <c r="G180" s="28" t="str">
        <f>'Owners Info'!L166</f>
        <v/>
      </c>
      <c r="H180" s="28" t="str">
        <f>'Owners Info'!C166</f>
        <v/>
      </c>
      <c r="I180" s="28" t="str">
        <f>'Owners Info'!M166</f>
        <v/>
      </c>
      <c r="J180" s="27" t="str">
        <f>'Owners Info'!G166</f>
        <v/>
      </c>
      <c r="K180" s="15"/>
      <c r="L180" s="15">
        <v>180.0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36" t="str">
        <f>'Owners Info'!A167</f>
        <v/>
      </c>
      <c r="B181" s="39" t="str">
        <f>'Owners Info'!B167</f>
        <v/>
      </c>
      <c r="C181" s="39" t="str">
        <f>'Owners Info'!F167</f>
        <v/>
      </c>
      <c r="D181" s="39" t="str">
        <f>'Owners Info'!I167</f>
        <v/>
      </c>
      <c r="E181" s="43" t="str">
        <f>'Owners Info'!J167</f>
        <v/>
      </c>
      <c r="F181" s="43" t="str">
        <f>'Owners Info'!K167</f>
        <v/>
      </c>
      <c r="G181" s="46" t="str">
        <f>'Owners Info'!L167</f>
        <v/>
      </c>
      <c r="H181" s="46" t="str">
        <f>'Owners Info'!C167</f>
        <v/>
      </c>
      <c r="I181" s="46" t="str">
        <f>'Owners Info'!M167</f>
        <v/>
      </c>
      <c r="J181" s="43" t="str">
        <f>'Owners Info'!G167</f>
        <v/>
      </c>
      <c r="K181" s="36"/>
      <c r="L181" s="36">
        <v>181.0</v>
      </c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15" t="str">
        <f>'Owners Info'!A168</f>
        <v/>
      </c>
      <c r="B182" s="20" t="str">
        <f>'Owners Info'!B168</f>
        <v/>
      </c>
      <c r="C182" s="20" t="str">
        <f>'Owners Info'!F168</f>
        <v/>
      </c>
      <c r="D182" s="20" t="str">
        <f>'Owners Info'!I168</f>
        <v/>
      </c>
      <c r="E182" s="27" t="str">
        <f>'Owners Info'!J168</f>
        <v/>
      </c>
      <c r="F182" s="27" t="str">
        <f>'Owners Info'!K168</f>
        <v/>
      </c>
      <c r="G182" s="28" t="str">
        <f>'Owners Info'!L168</f>
        <v/>
      </c>
      <c r="H182" s="28" t="str">
        <f>'Owners Info'!C168</f>
        <v/>
      </c>
      <c r="I182" s="28" t="str">
        <f>'Owners Info'!M168</f>
        <v/>
      </c>
      <c r="J182" s="27" t="str">
        <f>'Owners Info'!G168</f>
        <v/>
      </c>
      <c r="K182" s="15"/>
      <c r="L182" s="15">
        <v>182.0</v>
      </c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36" t="str">
        <f>'Owners Info'!A169</f>
        <v/>
      </c>
      <c r="B183" s="39" t="str">
        <f>'Owners Info'!B169</f>
        <v/>
      </c>
      <c r="C183" s="39" t="str">
        <f>'Owners Info'!F169</f>
        <v/>
      </c>
      <c r="D183" s="39" t="str">
        <f>'Owners Info'!I169</f>
        <v/>
      </c>
      <c r="E183" s="43" t="str">
        <f>'Owners Info'!J169</f>
        <v/>
      </c>
      <c r="F183" s="43" t="str">
        <f>'Owners Info'!K169</f>
        <v/>
      </c>
      <c r="G183" s="46" t="str">
        <f>'Owners Info'!L169</f>
        <v/>
      </c>
      <c r="H183" s="46" t="str">
        <f>'Owners Info'!C169</f>
        <v/>
      </c>
      <c r="I183" s="46" t="str">
        <f>'Owners Info'!M169</f>
        <v/>
      </c>
      <c r="J183" s="43" t="str">
        <f>'Owners Info'!G169</f>
        <v/>
      </c>
      <c r="K183" s="36"/>
      <c r="L183" s="36">
        <v>183.0</v>
      </c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15" t="str">
        <f>'Owners Info'!A170</f>
        <v/>
      </c>
      <c r="B184" s="20" t="str">
        <f>'Owners Info'!B170</f>
        <v/>
      </c>
      <c r="C184" s="20" t="str">
        <f>'Owners Info'!F170</f>
        <v/>
      </c>
      <c r="D184" s="20" t="str">
        <f>'Owners Info'!I170</f>
        <v/>
      </c>
      <c r="E184" s="27" t="str">
        <f>'Owners Info'!J170</f>
        <v/>
      </c>
      <c r="F184" s="27" t="str">
        <f>'Owners Info'!K170</f>
        <v/>
      </c>
      <c r="G184" s="28" t="str">
        <f>'Owners Info'!L170</f>
        <v/>
      </c>
      <c r="H184" s="28" t="str">
        <f>'Owners Info'!C170</f>
        <v/>
      </c>
      <c r="I184" s="28" t="str">
        <f>'Owners Info'!M170</f>
        <v/>
      </c>
      <c r="J184" s="27" t="str">
        <f>'Owners Info'!G170</f>
        <v/>
      </c>
      <c r="K184" s="15"/>
      <c r="L184" s="15">
        <v>184.0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36" t="str">
        <f>'Owners Info'!A171</f>
        <v/>
      </c>
      <c r="B185" s="39" t="str">
        <f>'Owners Info'!B171</f>
        <v/>
      </c>
      <c r="C185" s="39" t="str">
        <f>'Owners Info'!F171</f>
        <v/>
      </c>
      <c r="D185" s="39" t="str">
        <f>'Owners Info'!I171</f>
        <v/>
      </c>
      <c r="E185" s="43" t="str">
        <f>'Owners Info'!J171</f>
        <v/>
      </c>
      <c r="F185" s="43" t="str">
        <f>'Owners Info'!K171</f>
        <v/>
      </c>
      <c r="G185" s="46" t="str">
        <f>'Owners Info'!L171</f>
        <v/>
      </c>
      <c r="H185" s="46" t="str">
        <f>'Owners Info'!C171</f>
        <v/>
      </c>
      <c r="I185" s="46" t="str">
        <f>'Owners Info'!M171</f>
        <v/>
      </c>
      <c r="J185" s="43" t="str">
        <f>'Owners Info'!G171</f>
        <v/>
      </c>
      <c r="K185" s="36"/>
      <c r="L185" s="36">
        <v>185.0</v>
      </c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15" t="str">
        <f>'Owners Info'!A172</f>
        <v/>
      </c>
      <c r="B186" s="20" t="str">
        <f>'Owners Info'!B172</f>
        <v/>
      </c>
      <c r="C186" s="20" t="str">
        <f>'Owners Info'!F172</f>
        <v/>
      </c>
      <c r="D186" s="20" t="str">
        <f>'Owners Info'!I172</f>
        <v/>
      </c>
      <c r="E186" s="27" t="str">
        <f>'Owners Info'!J172</f>
        <v/>
      </c>
      <c r="F186" s="27" t="str">
        <f>'Owners Info'!K172</f>
        <v/>
      </c>
      <c r="G186" s="28" t="str">
        <f>'Owners Info'!L172</f>
        <v/>
      </c>
      <c r="H186" s="28" t="str">
        <f>'Owners Info'!C172</f>
        <v/>
      </c>
      <c r="I186" s="28" t="str">
        <f>'Owners Info'!M172</f>
        <v/>
      </c>
      <c r="J186" s="27" t="str">
        <f>'Owners Info'!G172</f>
        <v/>
      </c>
      <c r="K186" s="15"/>
      <c r="L186" s="15">
        <v>186.0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36" t="str">
        <f>'Owners Info'!A173</f>
        <v/>
      </c>
      <c r="B187" s="39" t="str">
        <f>'Owners Info'!B173</f>
        <v/>
      </c>
      <c r="C187" s="39" t="str">
        <f>'Owners Info'!F173</f>
        <v/>
      </c>
      <c r="D187" s="39" t="str">
        <f>'Owners Info'!I173</f>
        <v/>
      </c>
      <c r="E187" s="43" t="str">
        <f>'Owners Info'!J173</f>
        <v/>
      </c>
      <c r="F187" s="43" t="str">
        <f>'Owners Info'!K173</f>
        <v/>
      </c>
      <c r="G187" s="46" t="str">
        <f>'Owners Info'!L173</f>
        <v/>
      </c>
      <c r="H187" s="46" t="str">
        <f>'Owners Info'!C173</f>
        <v/>
      </c>
      <c r="I187" s="46" t="str">
        <f>'Owners Info'!M173</f>
        <v/>
      </c>
      <c r="J187" s="43" t="str">
        <f>'Owners Info'!G173</f>
        <v/>
      </c>
      <c r="K187" s="36"/>
      <c r="L187" s="36">
        <v>187.0</v>
      </c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15" t="str">
        <f>'Owners Info'!A174</f>
        <v/>
      </c>
      <c r="B188" s="20" t="str">
        <f>'Owners Info'!B174</f>
        <v/>
      </c>
      <c r="C188" s="20" t="str">
        <f>'Owners Info'!F174</f>
        <v/>
      </c>
      <c r="D188" s="20" t="str">
        <f>'Owners Info'!I174</f>
        <v/>
      </c>
      <c r="E188" s="27" t="str">
        <f>'Owners Info'!J174</f>
        <v/>
      </c>
      <c r="F188" s="27" t="str">
        <f>'Owners Info'!K174</f>
        <v/>
      </c>
      <c r="G188" s="28" t="str">
        <f>'Owners Info'!L174</f>
        <v/>
      </c>
      <c r="H188" s="28" t="str">
        <f>'Owners Info'!C174</f>
        <v/>
      </c>
      <c r="I188" s="28" t="str">
        <f>'Owners Info'!M174</f>
        <v/>
      </c>
      <c r="J188" s="27" t="str">
        <f>'Owners Info'!G174</f>
        <v/>
      </c>
      <c r="K188" s="15"/>
      <c r="L188" s="15">
        <v>188.0</v>
      </c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36" t="str">
        <f>'Owners Info'!A175</f>
        <v/>
      </c>
      <c r="B189" s="39" t="str">
        <f>'Owners Info'!B175</f>
        <v/>
      </c>
      <c r="C189" s="39" t="str">
        <f>'Owners Info'!F175</f>
        <v/>
      </c>
      <c r="D189" s="39" t="str">
        <f>'Owners Info'!I175</f>
        <v/>
      </c>
      <c r="E189" s="43" t="str">
        <f>'Owners Info'!J175</f>
        <v/>
      </c>
      <c r="F189" s="43" t="str">
        <f>'Owners Info'!K175</f>
        <v/>
      </c>
      <c r="G189" s="46" t="str">
        <f>'Owners Info'!L175</f>
        <v/>
      </c>
      <c r="H189" s="46" t="str">
        <f>'Owners Info'!C175</f>
        <v/>
      </c>
      <c r="I189" s="46" t="str">
        <f>'Owners Info'!M175</f>
        <v/>
      </c>
      <c r="J189" s="43" t="str">
        <f>'Owners Info'!G175</f>
        <v/>
      </c>
      <c r="K189" s="36"/>
      <c r="L189" s="36">
        <v>189.0</v>
      </c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15" t="str">
        <f>'Owners Info'!A176</f>
        <v/>
      </c>
      <c r="B190" s="20" t="str">
        <f>'Owners Info'!B176</f>
        <v/>
      </c>
      <c r="C190" s="20" t="str">
        <f>'Owners Info'!F176</f>
        <v/>
      </c>
      <c r="D190" s="20" t="str">
        <f>'Owners Info'!I176</f>
        <v/>
      </c>
      <c r="E190" s="27" t="str">
        <f>'Owners Info'!J176</f>
        <v/>
      </c>
      <c r="F190" s="27" t="str">
        <f>'Owners Info'!K176</f>
        <v/>
      </c>
      <c r="G190" s="28" t="str">
        <f>'Owners Info'!L176</f>
        <v/>
      </c>
      <c r="H190" s="28" t="str">
        <f>'Owners Info'!C176</f>
        <v/>
      </c>
      <c r="I190" s="28" t="str">
        <f>'Owners Info'!M176</f>
        <v/>
      </c>
      <c r="J190" s="27" t="str">
        <f>'Owners Info'!G176</f>
        <v/>
      </c>
      <c r="K190" s="15"/>
      <c r="L190" s="15">
        <v>190.0</v>
      </c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36" t="str">
        <f>'Owners Info'!A177</f>
        <v/>
      </c>
      <c r="B191" s="39" t="str">
        <f>'Owners Info'!B177</f>
        <v/>
      </c>
      <c r="C191" s="39" t="str">
        <f>'Owners Info'!F177</f>
        <v/>
      </c>
      <c r="D191" s="39" t="str">
        <f>'Owners Info'!I177</f>
        <v/>
      </c>
      <c r="E191" s="43" t="str">
        <f>'Owners Info'!J177</f>
        <v/>
      </c>
      <c r="F191" s="43" t="str">
        <f>'Owners Info'!K177</f>
        <v/>
      </c>
      <c r="G191" s="46" t="str">
        <f>'Owners Info'!L177</f>
        <v/>
      </c>
      <c r="H191" s="46" t="str">
        <f>'Owners Info'!C177</f>
        <v/>
      </c>
      <c r="I191" s="46" t="str">
        <f>'Owners Info'!M177</f>
        <v/>
      </c>
      <c r="J191" s="43" t="str">
        <f>'Owners Info'!G177</f>
        <v/>
      </c>
      <c r="K191" s="36"/>
      <c r="L191" s="36">
        <v>191.0</v>
      </c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15" t="str">
        <f>'Owners Info'!A178</f>
        <v/>
      </c>
      <c r="B192" s="20" t="str">
        <f>'Owners Info'!B178</f>
        <v/>
      </c>
      <c r="C192" s="20" t="str">
        <f>'Owners Info'!F178</f>
        <v/>
      </c>
      <c r="D192" s="20" t="str">
        <f>'Owners Info'!I178</f>
        <v/>
      </c>
      <c r="E192" s="27" t="str">
        <f>'Owners Info'!J178</f>
        <v/>
      </c>
      <c r="F192" s="27" t="str">
        <f>'Owners Info'!K178</f>
        <v/>
      </c>
      <c r="G192" s="28" t="str">
        <f>'Owners Info'!L178</f>
        <v/>
      </c>
      <c r="H192" s="28" t="str">
        <f>'Owners Info'!C178</f>
        <v/>
      </c>
      <c r="I192" s="28" t="str">
        <f>'Owners Info'!M178</f>
        <v/>
      </c>
      <c r="J192" s="27" t="str">
        <f>'Owners Info'!G178</f>
        <v/>
      </c>
      <c r="K192" s="15"/>
      <c r="L192" s="15">
        <v>192.0</v>
      </c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36" t="str">
        <f>'Owners Info'!A179</f>
        <v/>
      </c>
      <c r="B193" s="39" t="str">
        <f>'Owners Info'!B179</f>
        <v/>
      </c>
      <c r="C193" s="39" t="str">
        <f>'Owners Info'!F179</f>
        <v/>
      </c>
      <c r="D193" s="39" t="str">
        <f>'Owners Info'!I179</f>
        <v/>
      </c>
      <c r="E193" s="43" t="str">
        <f>'Owners Info'!J179</f>
        <v/>
      </c>
      <c r="F193" s="43" t="str">
        <f>'Owners Info'!K179</f>
        <v/>
      </c>
      <c r="G193" s="46" t="str">
        <f>'Owners Info'!L179</f>
        <v/>
      </c>
      <c r="H193" s="46" t="str">
        <f>'Owners Info'!C179</f>
        <v/>
      </c>
      <c r="I193" s="46" t="str">
        <f>'Owners Info'!M179</f>
        <v/>
      </c>
      <c r="J193" s="43" t="str">
        <f>'Owners Info'!G179</f>
        <v/>
      </c>
      <c r="K193" s="36"/>
      <c r="L193" s="36">
        <v>193.0</v>
      </c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15" t="str">
        <f>'Owners Info'!A180</f>
        <v/>
      </c>
      <c r="B194" s="20" t="str">
        <f>'Owners Info'!B180</f>
        <v/>
      </c>
      <c r="C194" s="20" t="str">
        <f>'Owners Info'!F180</f>
        <v/>
      </c>
      <c r="D194" s="20" t="str">
        <f>'Owners Info'!I180</f>
        <v/>
      </c>
      <c r="E194" s="27" t="str">
        <f>'Owners Info'!J180</f>
        <v/>
      </c>
      <c r="F194" s="27" t="str">
        <f>'Owners Info'!K180</f>
        <v/>
      </c>
      <c r="G194" s="28" t="str">
        <f>'Owners Info'!L180</f>
        <v/>
      </c>
      <c r="H194" s="28" t="str">
        <f>'Owners Info'!C180</f>
        <v/>
      </c>
      <c r="I194" s="28" t="str">
        <f>'Owners Info'!M180</f>
        <v/>
      </c>
      <c r="J194" s="27" t="str">
        <f>'Owners Info'!G180</f>
        <v/>
      </c>
      <c r="K194" s="15"/>
      <c r="L194" s="15">
        <v>194.0</v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36" t="str">
        <f>'Owners Info'!A181</f>
        <v/>
      </c>
      <c r="B195" s="39" t="str">
        <f>'Owners Info'!B181</f>
        <v/>
      </c>
      <c r="C195" s="39" t="str">
        <f>'Owners Info'!F181</f>
        <v/>
      </c>
      <c r="D195" s="39" t="str">
        <f>'Owners Info'!I181</f>
        <v/>
      </c>
      <c r="E195" s="43" t="str">
        <f>'Owners Info'!J181</f>
        <v/>
      </c>
      <c r="F195" s="43" t="str">
        <f>'Owners Info'!K181</f>
        <v/>
      </c>
      <c r="G195" s="46" t="str">
        <f>'Owners Info'!L181</f>
        <v/>
      </c>
      <c r="H195" s="46" t="str">
        <f>'Owners Info'!C181</f>
        <v/>
      </c>
      <c r="I195" s="46" t="str">
        <f>'Owners Info'!M181</f>
        <v/>
      </c>
      <c r="J195" s="43" t="str">
        <f>'Owners Info'!G181</f>
        <v/>
      </c>
      <c r="K195" s="36"/>
      <c r="L195" s="36">
        <v>195.0</v>
      </c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15" t="str">
        <f>'Owners Info'!A182</f>
        <v/>
      </c>
      <c r="B196" s="20" t="str">
        <f>'Owners Info'!B182</f>
        <v/>
      </c>
      <c r="C196" s="20" t="str">
        <f>'Owners Info'!F182</f>
        <v/>
      </c>
      <c r="D196" s="20" t="str">
        <f>'Owners Info'!I182</f>
        <v/>
      </c>
      <c r="E196" s="27" t="str">
        <f>'Owners Info'!J182</f>
        <v/>
      </c>
      <c r="F196" s="27" t="str">
        <f>'Owners Info'!K182</f>
        <v/>
      </c>
      <c r="G196" s="28" t="str">
        <f>'Owners Info'!L182</f>
        <v/>
      </c>
      <c r="H196" s="28" t="str">
        <f>'Owners Info'!C182</f>
        <v/>
      </c>
      <c r="I196" s="28" t="str">
        <f>'Owners Info'!M182</f>
        <v/>
      </c>
      <c r="J196" s="27" t="str">
        <f>'Owners Info'!G182</f>
        <v/>
      </c>
      <c r="K196" s="15"/>
      <c r="L196" s="15">
        <v>196.0</v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36" t="str">
        <f>'Owners Info'!A183</f>
        <v/>
      </c>
      <c r="B197" s="39" t="str">
        <f>'Owners Info'!B183</f>
        <v/>
      </c>
      <c r="C197" s="39" t="str">
        <f>'Owners Info'!F183</f>
        <v/>
      </c>
      <c r="D197" s="39" t="str">
        <f>'Owners Info'!I183</f>
        <v/>
      </c>
      <c r="E197" s="43" t="str">
        <f>'Owners Info'!J183</f>
        <v/>
      </c>
      <c r="F197" s="43" t="str">
        <f>'Owners Info'!K183</f>
        <v/>
      </c>
      <c r="G197" s="46" t="str">
        <f>'Owners Info'!L183</f>
        <v/>
      </c>
      <c r="H197" s="46" t="str">
        <f>'Owners Info'!C183</f>
        <v/>
      </c>
      <c r="I197" s="46" t="str">
        <f>'Owners Info'!M183</f>
        <v/>
      </c>
      <c r="J197" s="43" t="str">
        <f>'Owners Info'!G183</f>
        <v/>
      </c>
      <c r="K197" s="36"/>
      <c r="L197" s="36">
        <v>197.0</v>
      </c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15" t="str">
        <f>'Owners Info'!A184</f>
        <v/>
      </c>
      <c r="B198" s="20" t="str">
        <f>'Owners Info'!B184</f>
        <v/>
      </c>
      <c r="C198" s="20" t="str">
        <f>'Owners Info'!F184</f>
        <v/>
      </c>
      <c r="D198" s="20" t="str">
        <f>'Owners Info'!I184</f>
        <v/>
      </c>
      <c r="E198" s="27" t="str">
        <f>'Owners Info'!J184</f>
        <v/>
      </c>
      <c r="F198" s="27" t="str">
        <f>'Owners Info'!K184</f>
        <v/>
      </c>
      <c r="G198" s="28" t="str">
        <f>'Owners Info'!L184</f>
        <v/>
      </c>
      <c r="H198" s="28" t="str">
        <f>'Owners Info'!C184</f>
        <v/>
      </c>
      <c r="I198" s="28" t="str">
        <f>'Owners Info'!M184</f>
        <v/>
      </c>
      <c r="J198" s="27" t="str">
        <f>'Owners Info'!G184</f>
        <v/>
      </c>
      <c r="K198" s="15"/>
      <c r="L198" s="15">
        <v>198.0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36" t="str">
        <f>'Owners Info'!A185</f>
        <v/>
      </c>
      <c r="B199" s="39" t="str">
        <f>'Owners Info'!B185</f>
        <v/>
      </c>
      <c r="C199" s="39" t="str">
        <f>'Owners Info'!F185</f>
        <v/>
      </c>
      <c r="D199" s="39" t="str">
        <f>'Owners Info'!I185</f>
        <v/>
      </c>
      <c r="E199" s="256" t="str">
        <f>'Owners Info'!J185</f>
        <v/>
      </c>
      <c r="F199" s="256" t="str">
        <f>'Owners Info'!K185</f>
        <v/>
      </c>
      <c r="G199" s="46" t="str">
        <f>'Owners Info'!L185</f>
        <v/>
      </c>
      <c r="H199" s="46" t="str">
        <f>'Owners Info'!C185</f>
        <v/>
      </c>
      <c r="I199" s="46" t="str">
        <f>'Owners Info'!M185</f>
        <v/>
      </c>
      <c r="J199" s="43" t="str">
        <f>'Owners Info'!G185</f>
        <v/>
      </c>
      <c r="K199" s="36"/>
      <c r="L199" s="36">
        <v>199.0</v>
      </c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15" t="str">
        <f>'Owners Info'!A186</f>
        <v/>
      </c>
      <c r="B200" s="20" t="str">
        <f>'Owners Info'!B186</f>
        <v/>
      </c>
      <c r="C200" s="20" t="str">
        <f>'Owners Info'!F186</f>
        <v/>
      </c>
      <c r="D200" s="20" t="str">
        <f>'Owners Info'!I186</f>
        <v/>
      </c>
      <c r="E200" s="257" t="str">
        <f>'Owners Info'!J186</f>
        <v/>
      </c>
      <c r="F200" s="257" t="str">
        <f>'Owners Info'!K186</f>
        <v/>
      </c>
      <c r="G200" s="28" t="str">
        <f>'Owners Info'!L186</f>
        <v/>
      </c>
      <c r="H200" s="28" t="str">
        <f>'Owners Info'!C186</f>
        <v/>
      </c>
      <c r="I200" s="28" t="str">
        <f>'Owners Info'!M186</f>
        <v/>
      </c>
      <c r="J200" s="27" t="str">
        <f>'Owners Info'!G186</f>
        <v/>
      </c>
      <c r="K200" s="15"/>
      <c r="L200" s="15">
        <v>200.0</v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36" t="str">
        <f>'Owners Info'!A187</f>
        <v/>
      </c>
      <c r="B201" s="39" t="str">
        <f>'Owners Info'!B187</f>
        <v/>
      </c>
      <c r="C201" s="39" t="str">
        <f>'Owners Info'!F187</f>
        <v/>
      </c>
      <c r="D201" s="39" t="str">
        <f>'Owners Info'!I187</f>
        <v/>
      </c>
      <c r="E201" s="256" t="str">
        <f>'Owners Info'!J187</f>
        <v/>
      </c>
      <c r="F201" s="256" t="str">
        <f>'Owners Info'!K187</f>
        <v/>
      </c>
      <c r="G201" s="46" t="str">
        <f>'Owners Info'!L187</f>
        <v/>
      </c>
      <c r="H201" s="46" t="str">
        <f>'Owners Info'!C187</f>
        <v/>
      </c>
      <c r="I201" s="46" t="str">
        <f>'Owners Info'!M187</f>
        <v/>
      </c>
      <c r="J201" s="43" t="str">
        <f>'Owners Info'!G187</f>
        <v/>
      </c>
      <c r="K201" s="36"/>
      <c r="L201" s="36">
        <v>201.0</v>
      </c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15" t="str">
        <f>'Owners Info'!A188</f>
        <v/>
      </c>
      <c r="B202" s="20" t="str">
        <f>'Owners Info'!B188</f>
        <v/>
      </c>
      <c r="C202" s="20" t="str">
        <f>'Owners Info'!F188</f>
        <v/>
      </c>
      <c r="D202" s="20" t="str">
        <f>'Owners Info'!I188</f>
        <v/>
      </c>
      <c r="E202" s="257" t="str">
        <f>'Owners Info'!J188</f>
        <v/>
      </c>
      <c r="F202" s="257" t="str">
        <f>'Owners Info'!K188</f>
        <v/>
      </c>
      <c r="G202" s="28" t="str">
        <f>'Owners Info'!L188</f>
        <v/>
      </c>
      <c r="H202" s="28" t="str">
        <f>'Owners Info'!C188</f>
        <v/>
      </c>
      <c r="I202" s="28" t="str">
        <f>'Owners Info'!M188</f>
        <v/>
      </c>
      <c r="J202" s="27" t="str">
        <f>'Owners Info'!G188</f>
        <v/>
      </c>
      <c r="K202" s="15"/>
      <c r="L202" s="15">
        <v>202.0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36" t="str">
        <f>'Owners Info'!A189</f>
        <v/>
      </c>
      <c r="B203" s="39" t="str">
        <f>'Owners Info'!B189</f>
        <v/>
      </c>
      <c r="C203" s="39" t="str">
        <f>'Owners Info'!F189</f>
        <v/>
      </c>
      <c r="D203" s="39" t="str">
        <f>'Owners Info'!I189</f>
        <v/>
      </c>
      <c r="E203" s="256" t="str">
        <f>'Owners Info'!J189</f>
        <v/>
      </c>
      <c r="F203" s="256" t="str">
        <f>'Owners Info'!K189</f>
        <v/>
      </c>
      <c r="G203" s="46" t="str">
        <f>'Owners Info'!L189</f>
        <v/>
      </c>
      <c r="H203" s="46" t="str">
        <f>'Owners Info'!C189</f>
        <v/>
      </c>
      <c r="I203" s="46" t="str">
        <f>'Owners Info'!M189</f>
        <v/>
      </c>
      <c r="J203" s="43" t="str">
        <f>'Owners Info'!G189</f>
        <v/>
      </c>
      <c r="K203" s="36"/>
      <c r="L203" s="36">
        <v>203.0</v>
      </c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15" t="str">
        <f>'Owners Info'!A190</f>
        <v/>
      </c>
      <c r="B204" s="20" t="str">
        <f>'Owners Info'!B190</f>
        <v/>
      </c>
      <c r="C204" s="20" t="str">
        <f>'Owners Info'!F190</f>
        <v/>
      </c>
      <c r="D204" s="20" t="str">
        <f>'Owners Info'!I190</f>
        <v/>
      </c>
      <c r="E204" s="257" t="str">
        <f>'Owners Info'!J190</f>
        <v/>
      </c>
      <c r="F204" s="257" t="str">
        <f>'Owners Info'!K190</f>
        <v/>
      </c>
      <c r="G204" s="28" t="str">
        <f>'Owners Info'!L190</f>
        <v/>
      </c>
      <c r="H204" s="28" t="str">
        <f>'Owners Info'!C190</f>
        <v/>
      </c>
      <c r="I204" s="28" t="str">
        <f>'Owners Info'!M190</f>
        <v/>
      </c>
      <c r="J204" s="27" t="str">
        <f>'Owners Info'!G190</f>
        <v/>
      </c>
      <c r="K204" s="15"/>
      <c r="L204" s="15">
        <v>204.0</v>
      </c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36" t="str">
        <f>'Owners Info'!A191</f>
        <v/>
      </c>
      <c r="B205" s="39" t="str">
        <f>'Owners Info'!B191</f>
        <v/>
      </c>
      <c r="C205" s="39" t="str">
        <f>'Owners Info'!F191</f>
        <v/>
      </c>
      <c r="D205" s="39" t="str">
        <f>'Owners Info'!I191</f>
        <v/>
      </c>
      <c r="E205" s="256" t="str">
        <f>'Owners Info'!J191</f>
        <v/>
      </c>
      <c r="F205" s="256" t="str">
        <f>'Owners Info'!K191</f>
        <v/>
      </c>
      <c r="G205" s="46" t="str">
        <f>'Owners Info'!L191</f>
        <v/>
      </c>
      <c r="H205" s="46" t="str">
        <f>'Owners Info'!C191</f>
        <v/>
      </c>
      <c r="I205" s="46" t="str">
        <f>'Owners Info'!M191</f>
        <v/>
      </c>
      <c r="J205" s="43" t="str">
        <f>'Owners Info'!G191</f>
        <v/>
      </c>
      <c r="K205" s="36"/>
      <c r="L205" s="36">
        <v>205.0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15" t="str">
        <f>'Owners Info'!A192</f>
        <v/>
      </c>
      <c r="B206" s="20" t="str">
        <f>'Owners Info'!B192</f>
        <v/>
      </c>
      <c r="C206" s="20" t="str">
        <f>'Owners Info'!F192</f>
        <v/>
      </c>
      <c r="D206" s="20" t="str">
        <f>'Owners Info'!I192</f>
        <v/>
      </c>
      <c r="E206" s="257" t="str">
        <f>'Owners Info'!J192</f>
        <v/>
      </c>
      <c r="F206" s="257" t="str">
        <f>'Owners Info'!K192</f>
        <v/>
      </c>
      <c r="G206" s="28" t="str">
        <f>'Owners Info'!L192</f>
        <v/>
      </c>
      <c r="H206" s="28" t="str">
        <f>'Owners Info'!C192</f>
        <v/>
      </c>
      <c r="I206" s="28" t="str">
        <f>'Owners Info'!M192</f>
        <v/>
      </c>
      <c r="J206" s="27" t="str">
        <f>'Owners Info'!G192</f>
        <v/>
      </c>
      <c r="K206" s="15"/>
      <c r="L206" s="15">
        <v>206.0</v>
      </c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36" t="str">
        <f>'Owners Info'!A193</f>
        <v/>
      </c>
      <c r="B207" s="39" t="str">
        <f>'Owners Info'!B193</f>
        <v/>
      </c>
      <c r="C207" s="39" t="str">
        <f>'Owners Info'!F193</f>
        <v/>
      </c>
      <c r="D207" s="39" t="str">
        <f>'Owners Info'!I193</f>
        <v/>
      </c>
      <c r="E207" s="256" t="str">
        <f>'Owners Info'!J193</f>
        <v/>
      </c>
      <c r="F207" s="256" t="str">
        <f>'Owners Info'!K193</f>
        <v/>
      </c>
      <c r="G207" s="46" t="str">
        <f>'Owners Info'!L193</f>
        <v/>
      </c>
      <c r="H207" s="46" t="str">
        <f>'Owners Info'!C193</f>
        <v/>
      </c>
      <c r="I207" s="46" t="str">
        <f>'Owners Info'!M193</f>
        <v/>
      </c>
      <c r="J207" s="43" t="str">
        <f>'Owners Info'!G193</f>
        <v/>
      </c>
      <c r="K207" s="36"/>
      <c r="L207" s="36">
        <v>207.0</v>
      </c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15" t="str">
        <f>'Owners Info'!A194</f>
        <v/>
      </c>
      <c r="B208" s="20" t="str">
        <f>'Owners Info'!B194</f>
        <v/>
      </c>
      <c r="C208" s="20" t="str">
        <f>'Owners Info'!F194</f>
        <v/>
      </c>
      <c r="D208" s="20" t="str">
        <f>'Owners Info'!I194</f>
        <v/>
      </c>
      <c r="E208" s="257" t="str">
        <f>'Owners Info'!J194</f>
        <v/>
      </c>
      <c r="F208" s="257" t="str">
        <f>'Owners Info'!K194</f>
        <v/>
      </c>
      <c r="G208" s="28" t="str">
        <f>'Owners Info'!L194</f>
        <v/>
      </c>
      <c r="H208" s="28" t="str">
        <f>'Owners Info'!C194</f>
        <v/>
      </c>
      <c r="I208" s="28" t="str">
        <f>'Owners Info'!M194</f>
        <v/>
      </c>
      <c r="J208" s="27" t="str">
        <f>'Owners Info'!G194</f>
        <v/>
      </c>
      <c r="K208" s="15"/>
      <c r="L208" s="15">
        <v>208.0</v>
      </c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36" t="str">
        <f>'Owners Info'!A195</f>
        <v/>
      </c>
      <c r="B209" s="39" t="str">
        <f>'Owners Info'!B195</f>
        <v/>
      </c>
      <c r="C209" s="39" t="str">
        <f>'Owners Info'!F195</f>
        <v/>
      </c>
      <c r="D209" s="39" t="str">
        <f>'Owners Info'!I195</f>
        <v/>
      </c>
      <c r="E209" s="256" t="str">
        <f>'Owners Info'!J195</f>
        <v/>
      </c>
      <c r="F209" s="256" t="str">
        <f>'Owners Info'!K195</f>
        <v/>
      </c>
      <c r="G209" s="46" t="str">
        <f>'Owners Info'!L195</f>
        <v/>
      </c>
      <c r="H209" s="46" t="str">
        <f>'Owners Info'!C195</f>
        <v/>
      </c>
      <c r="I209" s="46" t="str">
        <f>'Owners Info'!M195</f>
        <v/>
      </c>
      <c r="J209" s="43" t="str">
        <f>'Owners Info'!G195</f>
        <v/>
      </c>
      <c r="K209" s="36"/>
      <c r="L209" s="36">
        <v>209.0</v>
      </c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15" t="str">
        <f>'Owners Info'!A196</f>
        <v/>
      </c>
      <c r="B210" s="20" t="str">
        <f>'Owners Info'!B196</f>
        <v/>
      </c>
      <c r="C210" s="20" t="str">
        <f>'Owners Info'!F196</f>
        <v/>
      </c>
      <c r="D210" s="20" t="str">
        <f>'Owners Info'!I196</f>
        <v/>
      </c>
      <c r="E210" s="257" t="str">
        <f>'Owners Info'!J196</f>
        <v/>
      </c>
      <c r="F210" s="257" t="str">
        <f>'Owners Info'!K196</f>
        <v/>
      </c>
      <c r="G210" s="28" t="str">
        <f>'Owners Info'!L196</f>
        <v/>
      </c>
      <c r="H210" s="28" t="str">
        <f>'Owners Info'!C196</f>
        <v/>
      </c>
      <c r="I210" s="28" t="str">
        <f>'Owners Info'!M196</f>
        <v/>
      </c>
      <c r="J210" s="27" t="str">
        <f>'Owners Info'!G196</f>
        <v/>
      </c>
      <c r="K210" s="15"/>
      <c r="L210" s="15">
        <v>210.0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36" t="str">
        <f>'Owners Info'!A197</f>
        <v/>
      </c>
      <c r="B211" s="39" t="str">
        <f>'Owners Info'!B197</f>
        <v/>
      </c>
      <c r="C211" s="39" t="str">
        <f>'Owners Info'!F197</f>
        <v/>
      </c>
      <c r="D211" s="39" t="str">
        <f>'Owners Info'!I197</f>
        <v/>
      </c>
      <c r="E211" s="256" t="str">
        <f>'Owners Info'!J197</f>
        <v/>
      </c>
      <c r="F211" s="256" t="str">
        <f>'Owners Info'!K197</f>
        <v/>
      </c>
      <c r="G211" s="46" t="str">
        <f>'Owners Info'!L197</f>
        <v/>
      </c>
      <c r="H211" s="46" t="str">
        <f>'Owners Info'!C197</f>
        <v/>
      </c>
      <c r="I211" s="46" t="str">
        <f>'Owners Info'!M197</f>
        <v/>
      </c>
      <c r="J211" s="43" t="str">
        <f>'Owners Info'!G197</f>
        <v/>
      </c>
      <c r="K211" s="36"/>
      <c r="L211" s="36">
        <v>211.0</v>
      </c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15" t="str">
        <f>'Owners Info'!A198</f>
        <v/>
      </c>
      <c r="B212" s="20" t="str">
        <f>'Owners Info'!B198</f>
        <v/>
      </c>
      <c r="C212" s="20" t="str">
        <f>'Owners Info'!F198</f>
        <v/>
      </c>
      <c r="D212" s="20" t="str">
        <f>'Owners Info'!I198</f>
        <v/>
      </c>
      <c r="E212" s="257" t="str">
        <f>'Owners Info'!J198</f>
        <v/>
      </c>
      <c r="F212" s="257" t="str">
        <f>'Owners Info'!K198</f>
        <v/>
      </c>
      <c r="G212" s="28" t="str">
        <f>'Owners Info'!L198</f>
        <v/>
      </c>
      <c r="H212" s="28" t="str">
        <f>'Owners Info'!C198</f>
        <v/>
      </c>
      <c r="I212" s="28" t="str">
        <f>'Owners Info'!M198</f>
        <v/>
      </c>
      <c r="J212" s="27" t="str">
        <f>'Owners Info'!G198</f>
        <v/>
      </c>
      <c r="K212" s="15"/>
      <c r="L212" s="15">
        <v>212.0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36" t="str">
        <f>'Owners Info'!A199</f>
        <v/>
      </c>
      <c r="B213" s="39" t="str">
        <f>'Owners Info'!B199</f>
        <v/>
      </c>
      <c r="C213" s="39" t="str">
        <f>'Owners Info'!F199</f>
        <v/>
      </c>
      <c r="D213" s="39" t="str">
        <f>'Owners Info'!I199</f>
        <v/>
      </c>
      <c r="E213" s="256" t="str">
        <f>'Owners Info'!J199</f>
        <v/>
      </c>
      <c r="F213" s="256" t="str">
        <f>'Owners Info'!K199</f>
        <v/>
      </c>
      <c r="G213" s="46" t="str">
        <f>'Owners Info'!L199</f>
        <v/>
      </c>
      <c r="H213" s="46" t="str">
        <f>'Owners Info'!C199</f>
        <v/>
      </c>
      <c r="I213" s="46" t="str">
        <f>'Owners Info'!M199</f>
        <v/>
      </c>
      <c r="J213" s="43" t="str">
        <f>'Owners Info'!G199</f>
        <v/>
      </c>
      <c r="K213" s="36"/>
      <c r="L213" s="36">
        <v>213.0</v>
      </c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15" t="str">
        <f>'Owners Info'!A200</f>
        <v/>
      </c>
      <c r="B214" s="20" t="str">
        <f>'Owners Info'!B200</f>
        <v/>
      </c>
      <c r="C214" s="20" t="str">
        <f>'Owners Info'!F200</f>
        <v/>
      </c>
      <c r="D214" s="20" t="str">
        <f>'Owners Info'!I200</f>
        <v/>
      </c>
      <c r="E214" s="257" t="str">
        <f>'Owners Info'!J200</f>
        <v/>
      </c>
      <c r="F214" s="257" t="str">
        <f>'Owners Info'!K200</f>
        <v/>
      </c>
      <c r="G214" s="28" t="str">
        <f>'Owners Info'!L200</f>
        <v/>
      </c>
      <c r="H214" s="28" t="str">
        <f>'Owners Info'!C200</f>
        <v/>
      </c>
      <c r="I214" s="28" t="str">
        <f>'Owners Info'!M200</f>
        <v/>
      </c>
      <c r="J214" s="27" t="str">
        <f>'Owners Info'!G200</f>
        <v/>
      </c>
      <c r="K214" s="15"/>
      <c r="L214" s="15">
        <v>214.0</v>
      </c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36" t="str">
        <f>'Owners Info'!A201</f>
        <v/>
      </c>
      <c r="B215" s="39" t="str">
        <f>'Owners Info'!B201</f>
        <v/>
      </c>
      <c r="C215" s="39" t="str">
        <f>'Owners Info'!F201</f>
        <v/>
      </c>
      <c r="D215" s="39" t="str">
        <f>'Owners Info'!I201</f>
        <v/>
      </c>
      <c r="E215" s="256" t="str">
        <f>'Owners Info'!J201</f>
        <v/>
      </c>
      <c r="F215" s="256" t="str">
        <f>'Owners Info'!K201</f>
        <v/>
      </c>
      <c r="G215" s="46" t="str">
        <f>'Owners Info'!L201</f>
        <v/>
      </c>
      <c r="H215" s="46" t="str">
        <f>'Owners Info'!C201</f>
        <v/>
      </c>
      <c r="I215" s="46" t="str">
        <f>'Owners Info'!M201</f>
        <v/>
      </c>
      <c r="J215" s="43" t="str">
        <f>'Owners Info'!G201</f>
        <v/>
      </c>
      <c r="K215" s="36"/>
      <c r="L215" s="36">
        <v>215.0</v>
      </c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15" t="str">
        <f>'Owners Info'!A202</f>
        <v/>
      </c>
      <c r="B216" s="20" t="str">
        <f>'Owners Info'!B202</f>
        <v/>
      </c>
      <c r="C216" s="20" t="str">
        <f>'Owners Info'!F202</f>
        <v/>
      </c>
      <c r="D216" s="20" t="str">
        <f>'Owners Info'!I202</f>
        <v/>
      </c>
      <c r="E216" s="257" t="str">
        <f>'Owners Info'!J202</f>
        <v/>
      </c>
      <c r="F216" s="257" t="str">
        <f>'Owners Info'!K202</f>
        <v/>
      </c>
      <c r="G216" s="28" t="str">
        <f>'Owners Info'!L202</f>
        <v/>
      </c>
      <c r="H216" s="28" t="str">
        <f>'Owners Info'!C202</f>
        <v/>
      </c>
      <c r="I216" s="28" t="str">
        <f>'Owners Info'!M202</f>
        <v/>
      </c>
      <c r="J216" s="27" t="str">
        <f>'Owners Info'!G202</f>
        <v/>
      </c>
      <c r="K216" s="15"/>
      <c r="L216" s="15">
        <v>216.0</v>
      </c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36" t="str">
        <f>'Owners Info'!A203</f>
        <v/>
      </c>
      <c r="B217" s="39" t="str">
        <f>'Owners Info'!B203</f>
        <v/>
      </c>
      <c r="C217" s="39" t="str">
        <f>'Owners Info'!F203</f>
        <v/>
      </c>
      <c r="D217" s="39" t="str">
        <f>'Owners Info'!I203</f>
        <v/>
      </c>
      <c r="E217" s="256" t="str">
        <f>'Owners Info'!J203</f>
        <v/>
      </c>
      <c r="F217" s="256" t="str">
        <f>'Owners Info'!K203</f>
        <v/>
      </c>
      <c r="G217" s="46" t="str">
        <f>'Owners Info'!L203</f>
        <v/>
      </c>
      <c r="H217" s="46" t="str">
        <f>'Owners Info'!C203</f>
        <v/>
      </c>
      <c r="I217" s="46" t="str">
        <f>'Owners Info'!M203</f>
        <v/>
      </c>
      <c r="J217" s="43" t="str">
        <f>'Owners Info'!G203</f>
        <v/>
      </c>
      <c r="K217" s="36"/>
      <c r="L217" s="36">
        <v>217.0</v>
      </c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15" t="str">
        <f>'Owners Info'!A204</f>
        <v/>
      </c>
      <c r="B218" s="20" t="str">
        <f>'Owners Info'!B204</f>
        <v/>
      </c>
      <c r="C218" s="20" t="str">
        <f>'Owners Info'!F204</f>
        <v/>
      </c>
      <c r="D218" s="20" t="str">
        <f>'Owners Info'!I204</f>
        <v/>
      </c>
      <c r="E218" s="257" t="str">
        <f>'Owners Info'!J204</f>
        <v/>
      </c>
      <c r="F218" s="257" t="str">
        <f>'Owners Info'!K204</f>
        <v/>
      </c>
      <c r="G218" s="28" t="str">
        <f>'Owners Info'!L204</f>
        <v/>
      </c>
      <c r="H218" s="28" t="str">
        <f>'Owners Info'!C204</f>
        <v/>
      </c>
      <c r="I218" s="28" t="str">
        <f>'Owners Info'!M204</f>
        <v/>
      </c>
      <c r="J218" s="27" t="str">
        <f>'Owners Info'!G204</f>
        <v/>
      </c>
      <c r="K218" s="15"/>
      <c r="L218" s="15">
        <v>218.0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36" t="str">
        <f>'Owners Info'!A205</f>
        <v/>
      </c>
      <c r="B219" s="39" t="str">
        <f>'Owners Info'!B205</f>
        <v/>
      </c>
      <c r="C219" s="39" t="str">
        <f>'Owners Info'!F205</f>
        <v/>
      </c>
      <c r="D219" s="39" t="str">
        <f>'Owners Info'!I205</f>
        <v/>
      </c>
      <c r="E219" s="256" t="str">
        <f>'Owners Info'!J205</f>
        <v/>
      </c>
      <c r="F219" s="256" t="str">
        <f>'Owners Info'!K205</f>
        <v/>
      </c>
      <c r="G219" s="46" t="str">
        <f>'Owners Info'!L205</f>
        <v/>
      </c>
      <c r="H219" s="46" t="str">
        <f>'Owners Info'!C205</f>
        <v/>
      </c>
      <c r="I219" s="46" t="str">
        <f>'Owners Info'!M205</f>
        <v/>
      </c>
      <c r="J219" s="43" t="str">
        <f>'Owners Info'!G205</f>
        <v/>
      </c>
      <c r="K219" s="36"/>
      <c r="L219" s="36">
        <v>219.0</v>
      </c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15" t="str">
        <f>'Owners Info'!A206</f>
        <v/>
      </c>
      <c r="B220" s="20" t="str">
        <f>'Owners Info'!B206</f>
        <v/>
      </c>
      <c r="C220" s="20" t="str">
        <f>'Owners Info'!F206</f>
        <v/>
      </c>
      <c r="D220" s="20" t="str">
        <f>'Owners Info'!I206</f>
        <v/>
      </c>
      <c r="E220" s="257" t="str">
        <f>'Owners Info'!J206</f>
        <v/>
      </c>
      <c r="F220" s="257" t="str">
        <f>'Owners Info'!K206</f>
        <v/>
      </c>
      <c r="G220" s="28" t="str">
        <f>'Owners Info'!L206</f>
        <v/>
      </c>
      <c r="H220" s="28" t="str">
        <f>'Owners Info'!C206</f>
        <v/>
      </c>
      <c r="I220" s="28" t="str">
        <f>'Owners Info'!M206</f>
        <v/>
      </c>
      <c r="J220" s="27" t="str">
        <f>'Owners Info'!G206</f>
        <v/>
      </c>
      <c r="K220" s="15"/>
      <c r="L220" s="15">
        <v>220.0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36" t="str">
        <f>'Owners Info'!A207</f>
        <v/>
      </c>
      <c r="B221" s="39" t="str">
        <f>'Owners Info'!B207</f>
        <v/>
      </c>
      <c r="C221" s="39" t="str">
        <f>'Owners Info'!F207</f>
        <v/>
      </c>
      <c r="D221" s="39" t="str">
        <f>'Owners Info'!I207</f>
        <v/>
      </c>
      <c r="E221" s="256" t="str">
        <f>'Owners Info'!J207</f>
        <v/>
      </c>
      <c r="F221" s="256" t="str">
        <f>'Owners Info'!K207</f>
        <v/>
      </c>
      <c r="G221" s="46" t="str">
        <f>'Owners Info'!L207</f>
        <v/>
      </c>
      <c r="H221" s="46" t="str">
        <f>'Owners Info'!C207</f>
        <v/>
      </c>
      <c r="I221" s="46" t="str">
        <f>'Owners Info'!M207</f>
        <v/>
      </c>
      <c r="J221" s="43" t="str">
        <f>'Owners Info'!G207</f>
        <v/>
      </c>
      <c r="K221" s="36"/>
      <c r="L221" s="36">
        <v>221.0</v>
      </c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15" t="str">
        <f>'Owners Info'!A208</f>
        <v/>
      </c>
      <c r="B222" s="20" t="str">
        <f>'Owners Info'!B208</f>
        <v/>
      </c>
      <c r="C222" s="20" t="str">
        <f>'Owners Info'!F208</f>
        <v/>
      </c>
      <c r="D222" s="20" t="str">
        <f>'Owners Info'!I208</f>
        <v/>
      </c>
      <c r="E222" s="257" t="str">
        <f>'Owners Info'!J208</f>
        <v/>
      </c>
      <c r="F222" s="257" t="str">
        <f>'Owners Info'!K208</f>
        <v/>
      </c>
      <c r="G222" s="28" t="str">
        <f>'Owners Info'!L208</f>
        <v/>
      </c>
      <c r="H222" s="28" t="str">
        <f>'Owners Info'!C208</f>
        <v/>
      </c>
      <c r="I222" s="28" t="str">
        <f>'Owners Info'!M208</f>
        <v/>
      </c>
      <c r="J222" s="27" t="str">
        <f>'Owners Info'!G208</f>
        <v/>
      </c>
      <c r="K222" s="15"/>
      <c r="L222" s="15">
        <v>222.0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36" t="str">
        <f>'Owners Info'!A209</f>
        <v/>
      </c>
      <c r="B223" s="39" t="str">
        <f>'Owners Info'!B209</f>
        <v/>
      </c>
      <c r="C223" s="39" t="str">
        <f>'Owners Info'!F209</f>
        <v/>
      </c>
      <c r="D223" s="39" t="str">
        <f>'Owners Info'!I209</f>
        <v/>
      </c>
      <c r="E223" s="256" t="str">
        <f>'Owners Info'!J209</f>
        <v/>
      </c>
      <c r="F223" s="256" t="str">
        <f>'Owners Info'!K209</f>
        <v/>
      </c>
      <c r="G223" s="46" t="str">
        <f>'Owners Info'!L209</f>
        <v/>
      </c>
      <c r="H223" s="46" t="str">
        <f>'Owners Info'!C209</f>
        <v/>
      </c>
      <c r="I223" s="46" t="str">
        <f>'Owners Info'!M209</f>
        <v/>
      </c>
      <c r="J223" s="43" t="str">
        <f>'Owners Info'!G209</f>
        <v/>
      </c>
      <c r="K223" s="36"/>
      <c r="L223" s="36">
        <v>223.0</v>
      </c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15" t="str">
        <f>'Owners Info'!A210</f>
        <v/>
      </c>
      <c r="B224" s="20" t="str">
        <f>'Owners Info'!B210</f>
        <v/>
      </c>
      <c r="C224" s="20" t="str">
        <f>'Owners Info'!F210</f>
        <v/>
      </c>
      <c r="D224" s="20" t="str">
        <f>'Owners Info'!I210</f>
        <v/>
      </c>
      <c r="E224" s="257" t="str">
        <f>'Owners Info'!J210</f>
        <v/>
      </c>
      <c r="F224" s="257" t="str">
        <f>'Owners Info'!K210</f>
        <v/>
      </c>
      <c r="G224" s="28" t="str">
        <f>'Owners Info'!L210</f>
        <v/>
      </c>
      <c r="H224" s="28" t="str">
        <f>'Owners Info'!C210</f>
        <v/>
      </c>
      <c r="I224" s="28" t="str">
        <f>'Owners Info'!M210</f>
        <v/>
      </c>
      <c r="J224" s="27" t="str">
        <f>'Owners Info'!G210</f>
        <v/>
      </c>
      <c r="K224" s="15"/>
      <c r="L224" s="15">
        <v>224.0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36" t="str">
        <f>'Owners Info'!A211</f>
        <v/>
      </c>
      <c r="B225" s="39" t="str">
        <f>'Owners Info'!B211</f>
        <v/>
      </c>
      <c r="C225" s="39" t="str">
        <f>'Owners Info'!F211</f>
        <v/>
      </c>
      <c r="D225" s="39" t="str">
        <f>'Owners Info'!I211</f>
        <v/>
      </c>
      <c r="E225" s="256" t="str">
        <f>'Owners Info'!J211</f>
        <v/>
      </c>
      <c r="F225" s="256" t="str">
        <f>'Owners Info'!K211</f>
        <v/>
      </c>
      <c r="G225" s="46" t="str">
        <f>'Owners Info'!L211</f>
        <v/>
      </c>
      <c r="H225" s="46" t="str">
        <f>'Owners Info'!C211</f>
        <v/>
      </c>
      <c r="I225" s="46" t="str">
        <f>'Owners Info'!M211</f>
        <v/>
      </c>
      <c r="J225" s="43" t="str">
        <f>'Owners Info'!G211</f>
        <v/>
      </c>
      <c r="K225" s="36"/>
      <c r="L225" s="36">
        <v>225.0</v>
      </c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15" t="str">
        <f>'Owners Info'!A212</f>
        <v/>
      </c>
      <c r="B226" s="20" t="str">
        <f>'Owners Info'!B212</f>
        <v/>
      </c>
      <c r="C226" s="20" t="str">
        <f>'Owners Info'!F212</f>
        <v/>
      </c>
      <c r="D226" s="20" t="str">
        <f>'Owners Info'!I212</f>
        <v/>
      </c>
      <c r="E226" s="257" t="str">
        <f>'Owners Info'!J212</f>
        <v/>
      </c>
      <c r="F226" s="257" t="str">
        <f>'Owners Info'!K212</f>
        <v/>
      </c>
      <c r="G226" s="28" t="str">
        <f>'Owners Info'!L212</f>
        <v/>
      </c>
      <c r="H226" s="28" t="str">
        <f>'Owners Info'!C212</f>
        <v/>
      </c>
      <c r="I226" s="28" t="str">
        <f>'Owners Info'!M212</f>
        <v/>
      </c>
      <c r="J226" s="27" t="str">
        <f>'Owners Info'!G212</f>
        <v/>
      </c>
      <c r="K226" s="15"/>
      <c r="L226" s="15">
        <v>226.0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36" t="str">
        <f>'Owners Info'!A213</f>
        <v/>
      </c>
      <c r="B227" s="39" t="str">
        <f>'Owners Info'!B213</f>
        <v/>
      </c>
      <c r="C227" s="39" t="str">
        <f>'Owners Info'!F213</f>
        <v/>
      </c>
      <c r="D227" s="39" t="str">
        <f>'Owners Info'!I213</f>
        <v/>
      </c>
      <c r="E227" s="256" t="str">
        <f>'Owners Info'!J213</f>
        <v/>
      </c>
      <c r="F227" s="256" t="str">
        <f>'Owners Info'!K213</f>
        <v/>
      </c>
      <c r="G227" s="46" t="str">
        <f>'Owners Info'!L213</f>
        <v/>
      </c>
      <c r="H227" s="46" t="str">
        <f>'Owners Info'!C213</f>
        <v/>
      </c>
      <c r="I227" s="46" t="str">
        <f>'Owners Info'!M213</f>
        <v/>
      </c>
      <c r="J227" s="43" t="str">
        <f>'Owners Info'!G213</f>
        <v/>
      </c>
      <c r="K227" s="36"/>
      <c r="L227" s="36">
        <v>227.0</v>
      </c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15" t="str">
        <f>'Owners Info'!A214</f>
        <v/>
      </c>
      <c r="B228" s="20" t="str">
        <f>'Owners Info'!B214</f>
        <v/>
      </c>
      <c r="C228" s="20" t="str">
        <f>'Owners Info'!F214</f>
        <v/>
      </c>
      <c r="D228" s="20" t="str">
        <f>'Owners Info'!I214</f>
        <v/>
      </c>
      <c r="E228" s="257" t="str">
        <f>'Owners Info'!J214</f>
        <v/>
      </c>
      <c r="F228" s="257" t="str">
        <f>'Owners Info'!K214</f>
        <v/>
      </c>
      <c r="G228" s="28" t="str">
        <f>'Owners Info'!L214</f>
        <v/>
      </c>
      <c r="H228" s="28" t="str">
        <f>'Owners Info'!C214</f>
        <v/>
      </c>
      <c r="I228" s="28" t="str">
        <f>'Owners Info'!M214</f>
        <v/>
      </c>
      <c r="J228" s="27" t="str">
        <f>'Owners Info'!G214</f>
        <v/>
      </c>
      <c r="K228" s="15"/>
      <c r="L228" s="15">
        <v>228.0</v>
      </c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36" t="str">
        <f>'Owners Info'!A215</f>
        <v/>
      </c>
      <c r="B229" s="39" t="str">
        <f>'Owners Info'!B215</f>
        <v/>
      </c>
      <c r="C229" s="39" t="str">
        <f>'Owners Info'!F215</f>
        <v/>
      </c>
      <c r="D229" s="39" t="str">
        <f>'Owners Info'!I215</f>
        <v/>
      </c>
      <c r="E229" s="256" t="str">
        <f>'Owners Info'!J215</f>
        <v/>
      </c>
      <c r="F229" s="256" t="str">
        <f>'Owners Info'!K215</f>
        <v/>
      </c>
      <c r="G229" s="46" t="str">
        <f>'Owners Info'!L215</f>
        <v/>
      </c>
      <c r="H229" s="46" t="str">
        <f>'Owners Info'!C215</f>
        <v/>
      </c>
      <c r="I229" s="46" t="str">
        <f>'Owners Info'!M215</f>
        <v/>
      </c>
      <c r="J229" s="43" t="str">
        <f>'Owners Info'!G215</f>
        <v/>
      </c>
      <c r="K229" s="36"/>
      <c r="L229" s="36">
        <v>229.0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15" t="str">
        <f>'Owners Info'!A216</f>
        <v/>
      </c>
      <c r="B230" s="20" t="str">
        <f>'Owners Info'!B216</f>
        <v/>
      </c>
      <c r="C230" s="20" t="str">
        <f>'Owners Info'!F216</f>
        <v/>
      </c>
      <c r="D230" s="20" t="str">
        <f>'Owners Info'!I216</f>
        <v/>
      </c>
      <c r="E230" s="257" t="str">
        <f>'Owners Info'!J216</f>
        <v/>
      </c>
      <c r="F230" s="257" t="str">
        <f>'Owners Info'!K216</f>
        <v/>
      </c>
      <c r="G230" s="28" t="str">
        <f>'Owners Info'!L216</f>
        <v/>
      </c>
      <c r="H230" s="28" t="str">
        <f>'Owners Info'!C216</f>
        <v/>
      </c>
      <c r="I230" s="28" t="str">
        <f>'Owners Info'!M216</f>
        <v/>
      </c>
      <c r="J230" s="27" t="str">
        <f>'Owners Info'!G216</f>
        <v/>
      </c>
      <c r="K230" s="15"/>
      <c r="L230" s="15">
        <v>230.0</v>
      </c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36" t="str">
        <f>'Owners Info'!A217</f>
        <v/>
      </c>
      <c r="B231" s="39" t="str">
        <f>'Owners Info'!B217</f>
        <v/>
      </c>
      <c r="C231" s="39" t="str">
        <f>'Owners Info'!F217</f>
        <v/>
      </c>
      <c r="D231" s="39" t="str">
        <f>'Owners Info'!I217</f>
        <v/>
      </c>
      <c r="E231" s="256" t="str">
        <f>'Owners Info'!J217</f>
        <v/>
      </c>
      <c r="F231" s="256" t="str">
        <f>'Owners Info'!K217</f>
        <v/>
      </c>
      <c r="G231" s="46" t="str">
        <f>'Owners Info'!L217</f>
        <v/>
      </c>
      <c r="H231" s="46" t="str">
        <f>'Owners Info'!C217</f>
        <v/>
      </c>
      <c r="I231" s="46" t="str">
        <f>'Owners Info'!M217</f>
        <v/>
      </c>
      <c r="J231" s="43" t="str">
        <f>'Owners Info'!G217</f>
        <v/>
      </c>
      <c r="K231" s="36"/>
      <c r="L231" s="36">
        <v>231.0</v>
      </c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15" t="str">
        <f>'Owners Info'!A218</f>
        <v/>
      </c>
      <c r="B232" s="20" t="str">
        <f>'Owners Info'!B218</f>
        <v/>
      </c>
      <c r="C232" s="20" t="str">
        <f>'Owners Info'!F218</f>
        <v/>
      </c>
      <c r="D232" s="20" t="str">
        <f>'Owners Info'!I218</f>
        <v/>
      </c>
      <c r="E232" s="257" t="str">
        <f>'Owners Info'!J218</f>
        <v/>
      </c>
      <c r="F232" s="257" t="str">
        <f>'Owners Info'!K218</f>
        <v/>
      </c>
      <c r="G232" s="28" t="str">
        <f>'Owners Info'!L218</f>
        <v/>
      </c>
      <c r="H232" s="28" t="str">
        <f>'Owners Info'!C218</f>
        <v/>
      </c>
      <c r="I232" s="28" t="str">
        <f>'Owners Info'!M218</f>
        <v/>
      </c>
      <c r="J232" s="27" t="str">
        <f>'Owners Info'!G218</f>
        <v/>
      </c>
      <c r="K232" s="15"/>
      <c r="L232" s="15">
        <v>232.0</v>
      </c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36" t="str">
        <f>'Owners Info'!A219</f>
        <v/>
      </c>
      <c r="B233" s="39" t="str">
        <f>'Owners Info'!B219</f>
        <v/>
      </c>
      <c r="C233" s="39" t="str">
        <f>'Owners Info'!F219</f>
        <v/>
      </c>
      <c r="D233" s="39" t="str">
        <f>'Owners Info'!I219</f>
        <v/>
      </c>
      <c r="E233" s="256" t="str">
        <f>'Owners Info'!J219</f>
        <v/>
      </c>
      <c r="F233" s="256" t="str">
        <f>'Owners Info'!K219</f>
        <v/>
      </c>
      <c r="G233" s="46" t="str">
        <f>'Owners Info'!L219</f>
        <v/>
      </c>
      <c r="H233" s="46" t="str">
        <f>'Owners Info'!C219</f>
        <v/>
      </c>
      <c r="I233" s="46" t="str">
        <f>'Owners Info'!M219</f>
        <v/>
      </c>
      <c r="J233" s="43" t="str">
        <f>'Owners Info'!G219</f>
        <v/>
      </c>
      <c r="K233" s="36"/>
      <c r="L233" s="36">
        <v>233.0</v>
      </c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15" t="str">
        <f>'Owners Info'!A220</f>
        <v/>
      </c>
      <c r="B234" s="20" t="str">
        <f>'Owners Info'!B220</f>
        <v/>
      </c>
      <c r="C234" s="20" t="str">
        <f>'Owners Info'!F220</f>
        <v/>
      </c>
      <c r="D234" s="20" t="str">
        <f>'Owners Info'!I220</f>
        <v/>
      </c>
      <c r="E234" s="257" t="str">
        <f>'Owners Info'!J220</f>
        <v/>
      </c>
      <c r="F234" s="257" t="str">
        <f>'Owners Info'!K220</f>
        <v/>
      </c>
      <c r="G234" s="28" t="str">
        <f>'Owners Info'!L220</f>
        <v/>
      </c>
      <c r="H234" s="28" t="str">
        <f>'Owners Info'!C220</f>
        <v/>
      </c>
      <c r="I234" s="28" t="str">
        <f>'Owners Info'!M220</f>
        <v/>
      </c>
      <c r="J234" s="27" t="str">
        <f>'Owners Info'!G220</f>
        <v/>
      </c>
      <c r="K234" s="15"/>
      <c r="L234" s="15">
        <v>234.0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36" t="str">
        <f>'Owners Info'!A221</f>
        <v/>
      </c>
      <c r="B235" s="39" t="str">
        <f>'Owners Info'!B221</f>
        <v/>
      </c>
      <c r="C235" s="39" t="str">
        <f>'Owners Info'!F221</f>
        <v/>
      </c>
      <c r="D235" s="39" t="str">
        <f>'Owners Info'!I221</f>
        <v/>
      </c>
      <c r="E235" s="256" t="str">
        <f>'Owners Info'!J221</f>
        <v/>
      </c>
      <c r="F235" s="256" t="str">
        <f>'Owners Info'!K221</f>
        <v/>
      </c>
      <c r="G235" s="46" t="str">
        <f>'Owners Info'!L221</f>
        <v/>
      </c>
      <c r="H235" s="46" t="str">
        <f>'Owners Info'!C221</f>
        <v/>
      </c>
      <c r="I235" s="46" t="str">
        <f>'Owners Info'!M221</f>
        <v/>
      </c>
      <c r="J235" s="43" t="str">
        <f>'Owners Info'!G221</f>
        <v/>
      </c>
      <c r="K235" s="36"/>
      <c r="L235" s="36">
        <v>235.0</v>
      </c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15" t="str">
        <f>'Owners Info'!A222</f>
        <v/>
      </c>
      <c r="B236" s="20" t="str">
        <f>'Owners Info'!B222</f>
        <v/>
      </c>
      <c r="C236" s="20" t="str">
        <f>'Owners Info'!F222</f>
        <v/>
      </c>
      <c r="D236" s="20" t="str">
        <f>'Owners Info'!I222</f>
        <v/>
      </c>
      <c r="E236" s="257" t="str">
        <f>'Owners Info'!J222</f>
        <v/>
      </c>
      <c r="F236" s="257" t="str">
        <f>'Owners Info'!K222</f>
        <v/>
      </c>
      <c r="G236" s="28" t="str">
        <f>'Owners Info'!L222</f>
        <v/>
      </c>
      <c r="H236" s="28" t="str">
        <f>'Owners Info'!C222</f>
        <v/>
      </c>
      <c r="I236" s="28" t="str">
        <f>'Owners Info'!M222</f>
        <v/>
      </c>
      <c r="J236" s="27" t="str">
        <f>'Owners Info'!G222</f>
        <v/>
      </c>
      <c r="K236" s="15"/>
      <c r="L236" s="15">
        <v>236.0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36" t="str">
        <f>'Owners Info'!A223</f>
        <v/>
      </c>
      <c r="B237" s="39" t="str">
        <f>'Owners Info'!B223</f>
        <v/>
      </c>
      <c r="C237" s="39" t="str">
        <f>'Owners Info'!F223</f>
        <v/>
      </c>
      <c r="D237" s="39" t="str">
        <f>'Owners Info'!I223</f>
        <v/>
      </c>
      <c r="E237" s="256" t="str">
        <f>'Owners Info'!J223</f>
        <v/>
      </c>
      <c r="F237" s="256" t="str">
        <f>'Owners Info'!K223</f>
        <v/>
      </c>
      <c r="G237" s="46" t="str">
        <f>'Owners Info'!L223</f>
        <v/>
      </c>
      <c r="H237" s="46" t="str">
        <f>'Owners Info'!C223</f>
        <v/>
      </c>
      <c r="I237" s="46" t="str">
        <f>'Owners Info'!M223</f>
        <v/>
      </c>
      <c r="J237" s="43" t="str">
        <f>'Owners Info'!G223</f>
        <v/>
      </c>
      <c r="K237" s="36"/>
      <c r="L237" s="36">
        <v>237.0</v>
      </c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15" t="str">
        <f>'Owners Info'!A224</f>
        <v/>
      </c>
      <c r="B238" s="20" t="str">
        <f>'Owners Info'!B224</f>
        <v/>
      </c>
      <c r="C238" s="20" t="str">
        <f>'Owners Info'!F224</f>
        <v/>
      </c>
      <c r="D238" s="20" t="str">
        <f>'Owners Info'!I224</f>
        <v/>
      </c>
      <c r="E238" s="257" t="str">
        <f>'Owners Info'!J224</f>
        <v/>
      </c>
      <c r="F238" s="257" t="str">
        <f>'Owners Info'!K224</f>
        <v/>
      </c>
      <c r="G238" s="28" t="str">
        <f>'Owners Info'!L224</f>
        <v/>
      </c>
      <c r="H238" s="28" t="str">
        <f>'Owners Info'!C224</f>
        <v/>
      </c>
      <c r="I238" s="28" t="str">
        <f>'Owners Info'!M224</f>
        <v/>
      </c>
      <c r="J238" s="27" t="str">
        <f>'Owners Info'!G224</f>
        <v/>
      </c>
      <c r="K238" s="15"/>
      <c r="L238" s="15">
        <v>238.0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36" t="str">
        <f>'Owners Info'!A225</f>
        <v/>
      </c>
      <c r="B239" s="39" t="str">
        <f>'Owners Info'!B225</f>
        <v/>
      </c>
      <c r="C239" s="39" t="str">
        <f>'Owners Info'!F225</f>
        <v/>
      </c>
      <c r="D239" s="39" t="str">
        <f>'Owners Info'!I225</f>
        <v/>
      </c>
      <c r="E239" s="256" t="str">
        <f>'Owners Info'!J225</f>
        <v/>
      </c>
      <c r="F239" s="256" t="str">
        <f>'Owners Info'!K225</f>
        <v/>
      </c>
      <c r="G239" s="46" t="str">
        <f>'Owners Info'!L225</f>
        <v/>
      </c>
      <c r="H239" s="46" t="str">
        <f>'Owners Info'!C225</f>
        <v/>
      </c>
      <c r="I239" s="46" t="str">
        <f>'Owners Info'!M225</f>
        <v/>
      </c>
      <c r="J239" s="43" t="str">
        <f>'Owners Info'!G225</f>
        <v/>
      </c>
      <c r="K239" s="36"/>
      <c r="L239" s="36">
        <v>239.0</v>
      </c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15" t="str">
        <f>'Owners Info'!A226</f>
        <v/>
      </c>
      <c r="B240" s="20" t="str">
        <f>'Owners Info'!B226</f>
        <v/>
      </c>
      <c r="C240" s="20" t="str">
        <f>'Owners Info'!F226</f>
        <v/>
      </c>
      <c r="D240" s="20" t="str">
        <f>'Owners Info'!I226</f>
        <v/>
      </c>
      <c r="E240" s="257" t="str">
        <f>'Owners Info'!J226</f>
        <v/>
      </c>
      <c r="F240" s="257" t="str">
        <f>'Owners Info'!K226</f>
        <v/>
      </c>
      <c r="G240" s="28" t="str">
        <f>'Owners Info'!L226</f>
        <v/>
      </c>
      <c r="H240" s="28" t="str">
        <f>'Owners Info'!C226</f>
        <v/>
      </c>
      <c r="I240" s="28" t="str">
        <f>'Owners Info'!M226</f>
        <v/>
      </c>
      <c r="J240" s="27" t="str">
        <f>'Owners Info'!G226</f>
        <v/>
      </c>
      <c r="K240" s="15"/>
      <c r="L240" s="15">
        <v>240.0</v>
      </c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36" t="str">
        <f>'Owners Info'!A227</f>
        <v/>
      </c>
      <c r="B241" s="39" t="str">
        <f>'Owners Info'!B227</f>
        <v/>
      </c>
      <c r="C241" s="39" t="str">
        <f>'Owners Info'!F227</f>
        <v/>
      </c>
      <c r="D241" s="39" t="str">
        <f>'Owners Info'!I227</f>
        <v/>
      </c>
      <c r="E241" s="256" t="str">
        <f>'Owners Info'!J227</f>
        <v/>
      </c>
      <c r="F241" s="256" t="str">
        <f>'Owners Info'!K227</f>
        <v/>
      </c>
      <c r="G241" s="46" t="str">
        <f>'Owners Info'!L227</f>
        <v/>
      </c>
      <c r="H241" s="46" t="str">
        <f>'Owners Info'!C227</f>
        <v/>
      </c>
      <c r="I241" s="46" t="str">
        <f>'Owners Info'!M227</f>
        <v/>
      </c>
      <c r="J241" s="43" t="str">
        <f>'Owners Info'!G227</f>
        <v/>
      </c>
      <c r="K241" s="36"/>
      <c r="L241" s="36">
        <v>241.0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15" t="str">
        <f>'Owners Info'!A228</f>
        <v/>
      </c>
      <c r="B242" s="20" t="str">
        <f>'Owners Info'!B228</f>
        <v/>
      </c>
      <c r="C242" s="20" t="str">
        <f>'Owners Info'!F228</f>
        <v/>
      </c>
      <c r="D242" s="20" t="str">
        <f>'Owners Info'!I228</f>
        <v/>
      </c>
      <c r="E242" s="257" t="str">
        <f>'Owners Info'!J228</f>
        <v/>
      </c>
      <c r="F242" s="257" t="str">
        <f>'Owners Info'!K228</f>
        <v/>
      </c>
      <c r="G242" s="28" t="str">
        <f>'Owners Info'!L228</f>
        <v/>
      </c>
      <c r="H242" s="28" t="str">
        <f>'Owners Info'!C228</f>
        <v/>
      </c>
      <c r="I242" s="28" t="str">
        <f>'Owners Info'!M228</f>
        <v/>
      </c>
      <c r="J242" s="27" t="str">
        <f>'Owners Info'!G228</f>
        <v/>
      </c>
      <c r="K242" s="15"/>
      <c r="L242" s="15">
        <v>242.0</v>
      </c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36" t="str">
        <f>'Owners Info'!A229</f>
        <v/>
      </c>
      <c r="B243" s="39" t="str">
        <f>'Owners Info'!B229</f>
        <v/>
      </c>
      <c r="C243" s="39" t="str">
        <f>'Owners Info'!F229</f>
        <v/>
      </c>
      <c r="D243" s="39" t="str">
        <f>'Owners Info'!I229</f>
        <v/>
      </c>
      <c r="E243" s="256" t="str">
        <f>'Owners Info'!J229</f>
        <v/>
      </c>
      <c r="F243" s="256" t="str">
        <f>'Owners Info'!K229</f>
        <v/>
      </c>
      <c r="G243" s="46" t="str">
        <f>'Owners Info'!L229</f>
        <v/>
      </c>
      <c r="H243" s="46" t="str">
        <f>'Owners Info'!C229</f>
        <v/>
      </c>
      <c r="I243" s="46" t="str">
        <f>'Owners Info'!M229</f>
        <v/>
      </c>
      <c r="J243" s="43" t="str">
        <f>'Owners Info'!G229</f>
        <v/>
      </c>
      <c r="K243" s="36"/>
      <c r="L243" s="36">
        <v>243.0</v>
      </c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15" t="str">
        <f>'Owners Info'!A230</f>
        <v/>
      </c>
      <c r="B244" s="20" t="str">
        <f>'Owners Info'!B230</f>
        <v/>
      </c>
      <c r="C244" s="20" t="str">
        <f>'Owners Info'!F230</f>
        <v/>
      </c>
      <c r="D244" s="20" t="str">
        <f>'Owners Info'!I230</f>
        <v/>
      </c>
      <c r="E244" s="257" t="str">
        <f>'Owners Info'!J230</f>
        <v/>
      </c>
      <c r="F244" s="257" t="str">
        <f>'Owners Info'!K230</f>
        <v/>
      </c>
      <c r="G244" s="28" t="str">
        <f>'Owners Info'!L230</f>
        <v/>
      </c>
      <c r="H244" s="28" t="str">
        <f>'Owners Info'!C230</f>
        <v/>
      </c>
      <c r="I244" s="28" t="str">
        <f>'Owners Info'!M230</f>
        <v/>
      </c>
      <c r="J244" s="27" t="str">
        <f>'Owners Info'!G230</f>
        <v/>
      </c>
      <c r="K244" s="15"/>
      <c r="L244" s="15">
        <v>244.0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36" t="str">
        <f>'Owners Info'!A231</f>
        <v/>
      </c>
      <c r="B245" s="39" t="str">
        <f>'Owners Info'!B231</f>
        <v/>
      </c>
      <c r="C245" s="39" t="str">
        <f>'Owners Info'!F231</f>
        <v/>
      </c>
      <c r="D245" s="39" t="str">
        <f>'Owners Info'!I231</f>
        <v/>
      </c>
      <c r="E245" s="256" t="str">
        <f>'Owners Info'!J231</f>
        <v/>
      </c>
      <c r="F245" s="256" t="str">
        <f>'Owners Info'!K231</f>
        <v/>
      </c>
      <c r="G245" s="46" t="str">
        <f>'Owners Info'!L231</f>
        <v/>
      </c>
      <c r="H245" s="46" t="str">
        <f>'Owners Info'!C231</f>
        <v/>
      </c>
      <c r="I245" s="46" t="str">
        <f>'Owners Info'!M231</f>
        <v/>
      </c>
      <c r="J245" s="43" t="str">
        <f>'Owners Info'!G231</f>
        <v/>
      </c>
      <c r="K245" s="36"/>
      <c r="L245" s="36">
        <v>245.0</v>
      </c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15" t="str">
        <f>'Owners Info'!A232</f>
        <v/>
      </c>
      <c r="B246" s="20" t="str">
        <f>'Owners Info'!B232</f>
        <v/>
      </c>
      <c r="C246" s="20" t="str">
        <f>'Owners Info'!F232</f>
        <v/>
      </c>
      <c r="D246" s="20" t="str">
        <f>'Owners Info'!I232</f>
        <v/>
      </c>
      <c r="E246" s="257" t="str">
        <f>'Owners Info'!J232</f>
        <v/>
      </c>
      <c r="F246" s="257" t="str">
        <f>'Owners Info'!K232</f>
        <v/>
      </c>
      <c r="G246" s="28" t="str">
        <f>'Owners Info'!L232</f>
        <v/>
      </c>
      <c r="H246" s="28" t="str">
        <f>'Owners Info'!C232</f>
        <v/>
      </c>
      <c r="I246" s="28" t="str">
        <f>'Owners Info'!M232</f>
        <v/>
      </c>
      <c r="J246" s="27" t="str">
        <f>'Owners Info'!G232</f>
        <v/>
      </c>
      <c r="K246" s="15"/>
      <c r="L246" s="15">
        <v>246.0</v>
      </c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36" t="str">
        <f>'Owners Info'!A233</f>
        <v/>
      </c>
      <c r="B247" s="39" t="str">
        <f>'Owners Info'!B233</f>
        <v/>
      </c>
      <c r="C247" s="39" t="str">
        <f>'Owners Info'!F233</f>
        <v/>
      </c>
      <c r="D247" s="39" t="str">
        <f>'Owners Info'!I233</f>
        <v/>
      </c>
      <c r="E247" s="256" t="str">
        <f>'Owners Info'!J233</f>
        <v/>
      </c>
      <c r="F247" s="256" t="str">
        <f>'Owners Info'!K233</f>
        <v/>
      </c>
      <c r="G247" s="46" t="str">
        <f>'Owners Info'!L233</f>
        <v/>
      </c>
      <c r="H247" s="46" t="str">
        <f>'Owners Info'!C233</f>
        <v/>
      </c>
      <c r="I247" s="46" t="str">
        <f>'Owners Info'!M233</f>
        <v/>
      </c>
      <c r="J247" s="43" t="str">
        <f>'Owners Info'!G233</f>
        <v/>
      </c>
      <c r="K247" s="36"/>
      <c r="L247" s="36">
        <v>247.0</v>
      </c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15" t="str">
        <f>'Owners Info'!A234</f>
        <v/>
      </c>
      <c r="B248" s="20" t="str">
        <f>'Owners Info'!B234</f>
        <v/>
      </c>
      <c r="C248" s="20" t="str">
        <f>'Owners Info'!F234</f>
        <v/>
      </c>
      <c r="D248" s="20" t="str">
        <f>'Owners Info'!I234</f>
        <v/>
      </c>
      <c r="E248" s="257" t="str">
        <f>'Owners Info'!J234</f>
        <v/>
      </c>
      <c r="F248" s="257" t="str">
        <f>'Owners Info'!K234</f>
        <v/>
      </c>
      <c r="G248" s="28" t="str">
        <f>'Owners Info'!L234</f>
        <v/>
      </c>
      <c r="H248" s="28" t="str">
        <f>'Owners Info'!C234</f>
        <v/>
      </c>
      <c r="I248" s="28" t="str">
        <f>'Owners Info'!M234</f>
        <v/>
      </c>
      <c r="J248" s="27" t="str">
        <f>'Owners Info'!G234</f>
        <v/>
      </c>
      <c r="K248" s="15"/>
      <c r="L248" s="15">
        <v>248.0</v>
      </c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36" t="str">
        <f>'Owners Info'!A235</f>
        <v/>
      </c>
      <c r="B249" s="39" t="str">
        <f>'Owners Info'!B235</f>
        <v/>
      </c>
      <c r="C249" s="39" t="str">
        <f>'Owners Info'!F235</f>
        <v/>
      </c>
      <c r="D249" s="39" t="str">
        <f>'Owners Info'!I235</f>
        <v/>
      </c>
      <c r="E249" s="256" t="str">
        <f>'Owners Info'!J235</f>
        <v/>
      </c>
      <c r="F249" s="256" t="str">
        <f>'Owners Info'!K235</f>
        <v/>
      </c>
      <c r="G249" s="46" t="str">
        <f>'Owners Info'!L235</f>
        <v/>
      </c>
      <c r="H249" s="46" t="str">
        <f>'Owners Info'!C235</f>
        <v/>
      </c>
      <c r="I249" s="46" t="str">
        <f>'Owners Info'!M235</f>
        <v/>
      </c>
      <c r="J249" s="43" t="str">
        <f>'Owners Info'!G235</f>
        <v/>
      </c>
      <c r="K249" s="36"/>
      <c r="L249" s="36">
        <v>249.0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15" t="str">
        <f>'Owners Info'!A236</f>
        <v/>
      </c>
      <c r="B250" s="20" t="str">
        <f>'Owners Info'!B236</f>
        <v/>
      </c>
      <c r="C250" s="20" t="str">
        <f>'Owners Info'!F236</f>
        <v/>
      </c>
      <c r="D250" s="20" t="str">
        <f>'Owners Info'!I236</f>
        <v/>
      </c>
      <c r="E250" s="257" t="str">
        <f>'Owners Info'!J236</f>
        <v/>
      </c>
      <c r="F250" s="257" t="str">
        <f>'Owners Info'!K236</f>
        <v/>
      </c>
      <c r="G250" s="28" t="str">
        <f>'Owners Info'!L236</f>
        <v/>
      </c>
      <c r="H250" s="28" t="str">
        <f>'Owners Info'!C236</f>
        <v/>
      </c>
      <c r="I250" s="28" t="str">
        <f>'Owners Info'!M236</f>
        <v/>
      </c>
      <c r="J250" s="27" t="str">
        <f>'Owners Info'!G236</f>
        <v/>
      </c>
      <c r="K250" s="15"/>
      <c r="L250" s="15">
        <v>250.0</v>
      </c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36" t="str">
        <f>'Owners Info'!A237</f>
        <v/>
      </c>
      <c r="B251" s="39" t="str">
        <f>'Owners Info'!B237</f>
        <v/>
      </c>
      <c r="C251" s="39" t="str">
        <f>'Owners Info'!F237</f>
        <v/>
      </c>
      <c r="D251" s="39" t="str">
        <f>'Owners Info'!I237</f>
        <v/>
      </c>
      <c r="E251" s="256" t="str">
        <f>'Owners Info'!J237</f>
        <v/>
      </c>
      <c r="F251" s="256" t="str">
        <f>'Owners Info'!K237</f>
        <v/>
      </c>
      <c r="G251" s="46" t="str">
        <f>'Owners Info'!L237</f>
        <v/>
      </c>
      <c r="H251" s="46" t="str">
        <f>'Owners Info'!C237</f>
        <v/>
      </c>
      <c r="I251" s="46" t="str">
        <f>'Owners Info'!M237</f>
        <v/>
      </c>
      <c r="J251" s="43" t="str">
        <f>'Owners Info'!G237</f>
        <v/>
      </c>
      <c r="K251" s="36"/>
      <c r="L251" s="36">
        <v>251.0</v>
      </c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15" t="str">
        <f>'Owners Info'!A238</f>
        <v/>
      </c>
      <c r="B252" s="20" t="str">
        <f>'Owners Info'!B238</f>
        <v/>
      </c>
      <c r="C252" s="20" t="str">
        <f>'Owners Info'!F238</f>
        <v/>
      </c>
      <c r="D252" s="20" t="str">
        <f>'Owners Info'!I238</f>
        <v/>
      </c>
      <c r="E252" s="257" t="str">
        <f>'Owners Info'!J238</f>
        <v/>
      </c>
      <c r="F252" s="257" t="str">
        <f>'Owners Info'!K238</f>
        <v/>
      </c>
      <c r="G252" s="28" t="str">
        <f>'Owners Info'!L238</f>
        <v/>
      </c>
      <c r="H252" s="28" t="str">
        <f>'Owners Info'!C238</f>
        <v/>
      </c>
      <c r="I252" s="28" t="str">
        <f>'Owners Info'!M238</f>
        <v/>
      </c>
      <c r="J252" s="27" t="str">
        <f>'Owners Info'!G238</f>
        <v/>
      </c>
      <c r="K252" s="15"/>
      <c r="L252" s="15">
        <v>252.0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36" t="str">
        <f>'Owners Info'!A239</f>
        <v/>
      </c>
      <c r="B253" s="39" t="str">
        <f>'Owners Info'!B239</f>
        <v/>
      </c>
      <c r="C253" s="39" t="str">
        <f>'Owners Info'!F239</f>
        <v/>
      </c>
      <c r="D253" s="39" t="str">
        <f>'Owners Info'!I239</f>
        <v/>
      </c>
      <c r="E253" s="256" t="str">
        <f>'Owners Info'!J239</f>
        <v/>
      </c>
      <c r="F253" s="256" t="str">
        <f>'Owners Info'!K239</f>
        <v/>
      </c>
      <c r="G253" s="46" t="str">
        <f>'Owners Info'!L239</f>
        <v/>
      </c>
      <c r="H253" s="46" t="str">
        <f>'Owners Info'!C239</f>
        <v/>
      </c>
      <c r="I253" s="46" t="str">
        <f>'Owners Info'!M239</f>
        <v/>
      </c>
      <c r="J253" s="43" t="str">
        <f>'Owners Info'!G239</f>
        <v/>
      </c>
      <c r="K253" s="36"/>
      <c r="L253" s="36">
        <v>253.0</v>
      </c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15" t="str">
        <f>'Owners Info'!A240</f>
        <v/>
      </c>
      <c r="B254" s="20" t="str">
        <f>'Owners Info'!B240</f>
        <v/>
      </c>
      <c r="C254" s="20" t="str">
        <f>'Owners Info'!F240</f>
        <v/>
      </c>
      <c r="D254" s="20" t="str">
        <f>'Owners Info'!I240</f>
        <v/>
      </c>
      <c r="E254" s="257" t="str">
        <f>'Owners Info'!J240</f>
        <v/>
      </c>
      <c r="F254" s="257" t="str">
        <f>'Owners Info'!K240</f>
        <v/>
      </c>
      <c r="G254" s="28" t="str">
        <f>'Owners Info'!L240</f>
        <v/>
      </c>
      <c r="H254" s="28" t="str">
        <f>'Owners Info'!C240</f>
        <v/>
      </c>
      <c r="I254" s="28" t="str">
        <f>'Owners Info'!M240</f>
        <v/>
      </c>
      <c r="J254" s="27" t="str">
        <f>'Owners Info'!G240</f>
        <v/>
      </c>
      <c r="K254" s="15"/>
      <c r="L254" s="15">
        <v>254.0</v>
      </c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36" t="str">
        <f>'Owners Info'!A241</f>
        <v/>
      </c>
      <c r="B255" s="39" t="str">
        <f>'Owners Info'!B241</f>
        <v/>
      </c>
      <c r="C255" s="39" t="str">
        <f>'Owners Info'!F241</f>
        <v/>
      </c>
      <c r="D255" s="39" t="str">
        <f>'Owners Info'!I241</f>
        <v/>
      </c>
      <c r="E255" s="256" t="str">
        <f>'Owners Info'!J241</f>
        <v/>
      </c>
      <c r="F255" s="256" t="str">
        <f>'Owners Info'!K241</f>
        <v/>
      </c>
      <c r="G255" s="46" t="str">
        <f>'Owners Info'!L241</f>
        <v/>
      </c>
      <c r="H255" s="46" t="str">
        <f>'Owners Info'!C241</f>
        <v/>
      </c>
      <c r="I255" s="46" t="str">
        <f>'Owners Info'!M241</f>
        <v/>
      </c>
      <c r="J255" s="43" t="str">
        <f>'Owners Info'!G241</f>
        <v/>
      </c>
      <c r="K255" s="36"/>
      <c r="L255" s="36">
        <v>255.0</v>
      </c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15" t="str">
        <f>'Owners Info'!A242</f>
        <v/>
      </c>
      <c r="B256" s="20" t="str">
        <f>'Owners Info'!B242</f>
        <v/>
      </c>
      <c r="C256" s="20" t="str">
        <f>'Owners Info'!F242</f>
        <v/>
      </c>
      <c r="D256" s="20" t="str">
        <f>'Owners Info'!I242</f>
        <v/>
      </c>
      <c r="E256" s="257" t="str">
        <f>'Owners Info'!J242</f>
        <v/>
      </c>
      <c r="F256" s="257" t="str">
        <f>'Owners Info'!K242</f>
        <v/>
      </c>
      <c r="G256" s="28" t="str">
        <f>'Owners Info'!L242</f>
        <v/>
      </c>
      <c r="H256" s="28" t="str">
        <f>'Owners Info'!C242</f>
        <v/>
      </c>
      <c r="I256" s="28" t="str">
        <f>'Owners Info'!M242</f>
        <v/>
      </c>
      <c r="J256" s="27" t="str">
        <f>'Owners Info'!G242</f>
        <v/>
      </c>
      <c r="K256" s="15"/>
      <c r="L256" s="15">
        <v>256.0</v>
      </c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36" t="str">
        <f>'Owners Info'!A243</f>
        <v/>
      </c>
      <c r="B257" s="39" t="str">
        <f>'Owners Info'!B243</f>
        <v/>
      </c>
      <c r="C257" s="39" t="str">
        <f>'Owners Info'!F243</f>
        <v/>
      </c>
      <c r="D257" s="39" t="str">
        <f>'Owners Info'!I243</f>
        <v/>
      </c>
      <c r="E257" s="256" t="str">
        <f>'Owners Info'!J243</f>
        <v/>
      </c>
      <c r="F257" s="256" t="str">
        <f>'Owners Info'!K243</f>
        <v/>
      </c>
      <c r="G257" s="46" t="str">
        <f>'Owners Info'!L243</f>
        <v/>
      </c>
      <c r="H257" s="46" t="str">
        <f>'Owners Info'!C243</f>
        <v/>
      </c>
      <c r="I257" s="46" t="str">
        <f>'Owners Info'!M243</f>
        <v/>
      </c>
      <c r="J257" s="43" t="str">
        <f>'Owners Info'!G243</f>
        <v/>
      </c>
      <c r="K257" s="36"/>
      <c r="L257" s="36">
        <v>257.0</v>
      </c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15" t="str">
        <f>'Owners Info'!A244</f>
        <v/>
      </c>
      <c r="B258" s="20" t="str">
        <f>'Owners Info'!B244</f>
        <v/>
      </c>
      <c r="C258" s="20" t="str">
        <f>'Owners Info'!F244</f>
        <v/>
      </c>
      <c r="D258" s="20" t="str">
        <f>'Owners Info'!I244</f>
        <v/>
      </c>
      <c r="E258" s="257" t="str">
        <f>'Owners Info'!J244</f>
        <v/>
      </c>
      <c r="F258" s="257" t="str">
        <f>'Owners Info'!K244</f>
        <v/>
      </c>
      <c r="G258" s="28" t="str">
        <f>'Owners Info'!L244</f>
        <v/>
      </c>
      <c r="H258" s="28" t="str">
        <f>'Owners Info'!C244</f>
        <v/>
      </c>
      <c r="I258" s="28" t="str">
        <f>'Owners Info'!M244</f>
        <v/>
      </c>
      <c r="J258" s="27" t="str">
        <f>'Owners Info'!G244</f>
        <v/>
      </c>
      <c r="K258" s="15"/>
      <c r="L258" s="15">
        <v>258.0</v>
      </c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36" t="str">
        <f>'Owners Info'!A245</f>
        <v/>
      </c>
      <c r="B259" s="39" t="str">
        <f>'Owners Info'!B245</f>
        <v/>
      </c>
      <c r="C259" s="39" t="str">
        <f>'Owners Info'!F245</f>
        <v/>
      </c>
      <c r="D259" s="39" t="str">
        <f>'Owners Info'!I245</f>
        <v/>
      </c>
      <c r="E259" s="256" t="str">
        <f>'Owners Info'!J245</f>
        <v/>
      </c>
      <c r="F259" s="256" t="str">
        <f>'Owners Info'!K245</f>
        <v/>
      </c>
      <c r="G259" s="46" t="str">
        <f>'Owners Info'!L245</f>
        <v/>
      </c>
      <c r="H259" s="46" t="str">
        <f>'Owners Info'!C245</f>
        <v/>
      </c>
      <c r="I259" s="46" t="str">
        <f>'Owners Info'!M245</f>
        <v/>
      </c>
      <c r="J259" s="43" t="str">
        <f>'Owners Info'!G245</f>
        <v/>
      </c>
      <c r="K259" s="36"/>
      <c r="L259" s="36">
        <v>259.0</v>
      </c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15" t="str">
        <f>'Owners Info'!A246</f>
        <v/>
      </c>
      <c r="B260" s="20" t="str">
        <f>'Owners Info'!B246</f>
        <v/>
      </c>
      <c r="C260" s="20" t="str">
        <f>'Owners Info'!F246</f>
        <v/>
      </c>
      <c r="D260" s="20" t="str">
        <f>'Owners Info'!I246</f>
        <v/>
      </c>
      <c r="E260" s="257" t="str">
        <f>'Owners Info'!J246</f>
        <v/>
      </c>
      <c r="F260" s="257" t="str">
        <f>'Owners Info'!K246</f>
        <v/>
      </c>
      <c r="G260" s="28" t="str">
        <f>'Owners Info'!L246</f>
        <v/>
      </c>
      <c r="H260" s="28" t="str">
        <f>'Owners Info'!C246</f>
        <v/>
      </c>
      <c r="I260" s="28" t="str">
        <f>'Owners Info'!M246</f>
        <v/>
      </c>
      <c r="J260" s="27" t="str">
        <f>'Owners Info'!G246</f>
        <v/>
      </c>
      <c r="K260" s="15"/>
      <c r="L260" s="15">
        <v>260.0</v>
      </c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36" t="str">
        <f>'Owners Info'!A247</f>
        <v/>
      </c>
      <c r="B261" s="39" t="str">
        <f>'Owners Info'!B247</f>
        <v/>
      </c>
      <c r="C261" s="39" t="str">
        <f>'Owners Info'!F247</f>
        <v/>
      </c>
      <c r="D261" s="39" t="str">
        <f>'Owners Info'!I247</f>
        <v/>
      </c>
      <c r="E261" s="256" t="str">
        <f>'Owners Info'!J247</f>
        <v/>
      </c>
      <c r="F261" s="256" t="str">
        <f>'Owners Info'!K247</f>
        <v/>
      </c>
      <c r="G261" s="46" t="str">
        <f>'Owners Info'!L247</f>
        <v/>
      </c>
      <c r="H261" s="46" t="str">
        <f>'Owners Info'!C247</f>
        <v/>
      </c>
      <c r="I261" s="46" t="str">
        <f>'Owners Info'!M247</f>
        <v/>
      </c>
      <c r="J261" s="43" t="str">
        <f>'Owners Info'!G247</f>
        <v/>
      </c>
      <c r="K261" s="36"/>
      <c r="L261" s="36">
        <v>261.0</v>
      </c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15" t="str">
        <f>'Owners Info'!A248</f>
        <v/>
      </c>
      <c r="B262" s="20" t="str">
        <f>'Owners Info'!B248</f>
        <v/>
      </c>
      <c r="C262" s="20" t="str">
        <f>'Owners Info'!F248</f>
        <v/>
      </c>
      <c r="D262" s="20" t="str">
        <f>'Owners Info'!I248</f>
        <v/>
      </c>
      <c r="E262" s="257" t="str">
        <f>'Owners Info'!J248</f>
        <v/>
      </c>
      <c r="F262" s="257" t="str">
        <f>'Owners Info'!K248</f>
        <v/>
      </c>
      <c r="G262" s="28" t="str">
        <f>'Owners Info'!L248</f>
        <v/>
      </c>
      <c r="H262" s="28" t="str">
        <f>'Owners Info'!C248</f>
        <v/>
      </c>
      <c r="I262" s="28" t="str">
        <f>'Owners Info'!M248</f>
        <v/>
      </c>
      <c r="J262" s="27" t="str">
        <f>'Owners Info'!G248</f>
        <v/>
      </c>
      <c r="K262" s="15"/>
      <c r="L262" s="15">
        <v>262.0</v>
      </c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36" t="str">
        <f>'Owners Info'!A249</f>
        <v/>
      </c>
      <c r="B263" s="39" t="str">
        <f>'Owners Info'!B249</f>
        <v/>
      </c>
      <c r="C263" s="39" t="str">
        <f>'Owners Info'!F249</f>
        <v/>
      </c>
      <c r="D263" s="39" t="str">
        <f>'Owners Info'!I249</f>
        <v/>
      </c>
      <c r="E263" s="256" t="str">
        <f>'Owners Info'!J249</f>
        <v/>
      </c>
      <c r="F263" s="256" t="str">
        <f>'Owners Info'!K249</f>
        <v/>
      </c>
      <c r="G263" s="46" t="str">
        <f>'Owners Info'!L249</f>
        <v/>
      </c>
      <c r="H263" s="46" t="str">
        <f>'Owners Info'!C249</f>
        <v/>
      </c>
      <c r="I263" s="46" t="str">
        <f>'Owners Info'!M249</f>
        <v/>
      </c>
      <c r="J263" s="43" t="str">
        <f>'Owners Info'!G249</f>
        <v/>
      </c>
      <c r="K263" s="36"/>
      <c r="L263" s="36">
        <v>263.0</v>
      </c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15" t="str">
        <f>'Owners Info'!A250</f>
        <v/>
      </c>
      <c r="B264" s="20" t="str">
        <f>'Owners Info'!B250</f>
        <v/>
      </c>
      <c r="C264" s="20" t="str">
        <f>'Owners Info'!F250</f>
        <v/>
      </c>
      <c r="D264" s="20" t="str">
        <f>'Owners Info'!I250</f>
        <v/>
      </c>
      <c r="E264" s="257" t="str">
        <f>'Owners Info'!J250</f>
        <v/>
      </c>
      <c r="F264" s="257" t="str">
        <f>'Owners Info'!K250</f>
        <v/>
      </c>
      <c r="G264" s="28" t="str">
        <f>'Owners Info'!L250</f>
        <v/>
      </c>
      <c r="H264" s="28" t="str">
        <f>'Owners Info'!C250</f>
        <v/>
      </c>
      <c r="I264" s="28" t="str">
        <f>'Owners Info'!M250</f>
        <v/>
      </c>
      <c r="J264" s="27" t="str">
        <f>'Owners Info'!G250</f>
        <v/>
      </c>
      <c r="K264" s="15"/>
      <c r="L264" s="15">
        <v>264.0</v>
      </c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36" t="str">
        <f>'Owners Info'!A251</f>
        <v/>
      </c>
      <c r="B265" s="39" t="str">
        <f>'Owners Info'!B251</f>
        <v/>
      </c>
      <c r="C265" s="39" t="str">
        <f>'Owners Info'!F251</f>
        <v/>
      </c>
      <c r="D265" s="39" t="str">
        <f>'Owners Info'!I251</f>
        <v/>
      </c>
      <c r="E265" s="256" t="str">
        <f>'Owners Info'!J251</f>
        <v/>
      </c>
      <c r="F265" s="256" t="str">
        <f>'Owners Info'!K251</f>
        <v/>
      </c>
      <c r="G265" s="46" t="str">
        <f>'Owners Info'!L251</f>
        <v/>
      </c>
      <c r="H265" s="46" t="str">
        <f>'Owners Info'!C251</f>
        <v/>
      </c>
      <c r="I265" s="46" t="str">
        <f>'Owners Info'!M251</f>
        <v/>
      </c>
      <c r="J265" s="43" t="str">
        <f>'Owners Info'!G251</f>
        <v/>
      </c>
      <c r="K265" s="36"/>
      <c r="L265" s="36">
        <v>265.0</v>
      </c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15" t="str">
        <f>'Owners Info'!A252</f>
        <v/>
      </c>
      <c r="B266" s="20" t="str">
        <f>'Owners Info'!B252</f>
        <v/>
      </c>
      <c r="C266" s="20" t="str">
        <f>'Owners Info'!F252</f>
        <v/>
      </c>
      <c r="D266" s="20" t="str">
        <f>'Owners Info'!I252</f>
        <v/>
      </c>
      <c r="E266" s="257" t="str">
        <f>'Owners Info'!J252</f>
        <v/>
      </c>
      <c r="F266" s="257" t="str">
        <f>'Owners Info'!K252</f>
        <v/>
      </c>
      <c r="G266" s="28" t="str">
        <f>'Owners Info'!L252</f>
        <v/>
      </c>
      <c r="H266" s="28" t="str">
        <f>'Owners Info'!C252</f>
        <v/>
      </c>
      <c r="I266" s="28" t="str">
        <f>'Owners Info'!M252</f>
        <v/>
      </c>
      <c r="J266" s="27" t="str">
        <f>'Owners Info'!G252</f>
        <v/>
      </c>
      <c r="K266" s="15"/>
      <c r="L266" s="15">
        <v>266.0</v>
      </c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36" t="str">
        <f>'Owners Info'!A253</f>
        <v/>
      </c>
      <c r="B267" s="39" t="str">
        <f>'Owners Info'!B253</f>
        <v/>
      </c>
      <c r="C267" s="39" t="str">
        <f>'Owners Info'!F253</f>
        <v/>
      </c>
      <c r="D267" s="39" t="str">
        <f>'Owners Info'!I253</f>
        <v/>
      </c>
      <c r="E267" s="256" t="str">
        <f>'Owners Info'!J253</f>
        <v/>
      </c>
      <c r="F267" s="256" t="str">
        <f>'Owners Info'!K253</f>
        <v/>
      </c>
      <c r="G267" s="46" t="str">
        <f>'Owners Info'!L253</f>
        <v/>
      </c>
      <c r="H267" s="46" t="str">
        <f>'Owners Info'!C253</f>
        <v/>
      </c>
      <c r="I267" s="46" t="str">
        <f>'Owners Info'!M253</f>
        <v/>
      </c>
      <c r="J267" s="43" t="str">
        <f>'Owners Info'!G253</f>
        <v/>
      </c>
      <c r="K267" s="36"/>
      <c r="L267" s="36">
        <v>267.0</v>
      </c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15" t="str">
        <f>'Owners Info'!A254</f>
        <v/>
      </c>
      <c r="B268" s="20" t="str">
        <f>'Owners Info'!B254</f>
        <v/>
      </c>
      <c r="C268" s="20" t="str">
        <f>'Owners Info'!F254</f>
        <v/>
      </c>
      <c r="D268" s="20" t="str">
        <f>'Owners Info'!I254</f>
        <v/>
      </c>
      <c r="E268" s="257" t="str">
        <f>'Owners Info'!J254</f>
        <v/>
      </c>
      <c r="F268" s="257" t="str">
        <f>'Owners Info'!K254</f>
        <v/>
      </c>
      <c r="G268" s="28" t="str">
        <f>'Owners Info'!L254</f>
        <v/>
      </c>
      <c r="H268" s="28" t="str">
        <f>'Owners Info'!C254</f>
        <v/>
      </c>
      <c r="I268" s="28" t="str">
        <f>'Owners Info'!M254</f>
        <v/>
      </c>
      <c r="J268" s="27" t="str">
        <f>'Owners Info'!G254</f>
        <v/>
      </c>
      <c r="K268" s="15"/>
      <c r="L268" s="15">
        <v>268.0</v>
      </c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36" t="str">
        <f>'Owners Info'!A255</f>
        <v/>
      </c>
      <c r="B269" s="39" t="str">
        <f>'Owners Info'!B255</f>
        <v/>
      </c>
      <c r="C269" s="39" t="str">
        <f>'Owners Info'!F255</f>
        <v/>
      </c>
      <c r="D269" s="39" t="str">
        <f>'Owners Info'!I255</f>
        <v/>
      </c>
      <c r="E269" s="256" t="str">
        <f>'Owners Info'!J255</f>
        <v/>
      </c>
      <c r="F269" s="256" t="str">
        <f>'Owners Info'!K255</f>
        <v/>
      </c>
      <c r="G269" s="46" t="str">
        <f>'Owners Info'!L255</f>
        <v/>
      </c>
      <c r="H269" s="46" t="str">
        <f>'Owners Info'!C255</f>
        <v/>
      </c>
      <c r="I269" s="46" t="str">
        <f>'Owners Info'!M255</f>
        <v/>
      </c>
      <c r="J269" s="43" t="str">
        <f>'Owners Info'!G255</f>
        <v/>
      </c>
      <c r="K269" s="36"/>
      <c r="L269" s="36">
        <v>269.0</v>
      </c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15" t="str">
        <f>'Owners Info'!A256</f>
        <v/>
      </c>
      <c r="B270" s="20" t="str">
        <f>'Owners Info'!B256</f>
        <v/>
      </c>
      <c r="C270" s="20" t="str">
        <f>'Owners Info'!F256</f>
        <v/>
      </c>
      <c r="D270" s="20" t="str">
        <f>'Owners Info'!I256</f>
        <v/>
      </c>
      <c r="E270" s="257" t="str">
        <f>'Owners Info'!J256</f>
        <v/>
      </c>
      <c r="F270" s="257" t="str">
        <f>'Owners Info'!K256</f>
        <v/>
      </c>
      <c r="G270" s="28" t="str">
        <f>'Owners Info'!L256</f>
        <v/>
      </c>
      <c r="H270" s="28" t="str">
        <f>'Owners Info'!C256</f>
        <v/>
      </c>
      <c r="I270" s="28" t="str">
        <f>'Owners Info'!M256</f>
        <v/>
      </c>
      <c r="J270" s="27" t="str">
        <f>'Owners Info'!G256</f>
        <v/>
      </c>
      <c r="K270" s="15"/>
      <c r="L270" s="15">
        <v>270.0</v>
      </c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36" t="str">
        <f>'Owners Info'!A257</f>
        <v/>
      </c>
      <c r="B271" s="39" t="str">
        <f>'Owners Info'!B257</f>
        <v/>
      </c>
      <c r="C271" s="39" t="str">
        <f>'Owners Info'!F257</f>
        <v/>
      </c>
      <c r="D271" s="39" t="str">
        <f>'Owners Info'!I257</f>
        <v/>
      </c>
      <c r="E271" s="256" t="str">
        <f>'Owners Info'!J257</f>
        <v/>
      </c>
      <c r="F271" s="256" t="str">
        <f>'Owners Info'!K257</f>
        <v/>
      </c>
      <c r="G271" s="46" t="str">
        <f>'Owners Info'!L257</f>
        <v/>
      </c>
      <c r="H271" s="46" t="str">
        <f>'Owners Info'!C257</f>
        <v/>
      </c>
      <c r="I271" s="46" t="str">
        <f>'Owners Info'!M257</f>
        <v/>
      </c>
      <c r="J271" s="43" t="str">
        <f>'Owners Info'!G257</f>
        <v/>
      </c>
      <c r="K271" s="36"/>
      <c r="L271" s="36">
        <v>271.0</v>
      </c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15" t="str">
        <f>'Owners Info'!A258</f>
        <v/>
      </c>
      <c r="B272" s="20" t="str">
        <f>'Owners Info'!B258</f>
        <v/>
      </c>
      <c r="C272" s="20" t="str">
        <f>'Owners Info'!F258</f>
        <v/>
      </c>
      <c r="D272" s="20" t="str">
        <f>'Owners Info'!I258</f>
        <v/>
      </c>
      <c r="E272" s="257" t="str">
        <f>'Owners Info'!J258</f>
        <v/>
      </c>
      <c r="F272" s="257" t="str">
        <f>'Owners Info'!K258</f>
        <v/>
      </c>
      <c r="G272" s="28" t="str">
        <f>'Owners Info'!L258</f>
        <v/>
      </c>
      <c r="H272" s="28" t="str">
        <f>'Owners Info'!C258</f>
        <v/>
      </c>
      <c r="I272" s="28" t="str">
        <f>'Owners Info'!M258</f>
        <v/>
      </c>
      <c r="J272" s="27" t="str">
        <f>'Owners Info'!G258</f>
        <v/>
      </c>
      <c r="K272" s="15"/>
      <c r="L272" s="15">
        <v>272.0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36" t="str">
        <f>'Owners Info'!A259</f>
        <v/>
      </c>
      <c r="B273" s="39" t="str">
        <f>'Owners Info'!B259</f>
        <v/>
      </c>
      <c r="C273" s="39" t="str">
        <f>'Owners Info'!F259</f>
        <v/>
      </c>
      <c r="D273" s="39" t="str">
        <f>'Owners Info'!I259</f>
        <v/>
      </c>
      <c r="E273" s="256" t="str">
        <f>'Owners Info'!J259</f>
        <v/>
      </c>
      <c r="F273" s="256" t="str">
        <f>'Owners Info'!K259</f>
        <v/>
      </c>
      <c r="G273" s="46" t="str">
        <f>'Owners Info'!L259</f>
        <v/>
      </c>
      <c r="H273" s="46" t="str">
        <f>'Owners Info'!C259</f>
        <v/>
      </c>
      <c r="I273" s="46" t="str">
        <f>'Owners Info'!M259</f>
        <v/>
      </c>
      <c r="J273" s="43" t="str">
        <f>'Owners Info'!G259</f>
        <v/>
      </c>
      <c r="K273" s="36"/>
      <c r="L273" s="36">
        <v>273.0</v>
      </c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15" t="str">
        <f>'Owners Info'!A260</f>
        <v/>
      </c>
      <c r="B274" s="20" t="str">
        <f>'Owners Info'!B260</f>
        <v/>
      </c>
      <c r="C274" s="20" t="str">
        <f>'Owners Info'!F260</f>
        <v/>
      </c>
      <c r="D274" s="20" t="str">
        <f>'Owners Info'!I260</f>
        <v/>
      </c>
      <c r="E274" s="257" t="str">
        <f>'Owners Info'!J260</f>
        <v/>
      </c>
      <c r="F274" s="257" t="str">
        <f>'Owners Info'!K260</f>
        <v/>
      </c>
      <c r="G274" s="28" t="str">
        <f>'Owners Info'!L260</f>
        <v/>
      </c>
      <c r="H274" s="28" t="str">
        <f>'Owners Info'!C260</f>
        <v/>
      </c>
      <c r="I274" s="28" t="str">
        <f>'Owners Info'!M260</f>
        <v/>
      </c>
      <c r="J274" s="27" t="str">
        <f>'Owners Info'!G260</f>
        <v/>
      </c>
      <c r="K274" s="15"/>
      <c r="L274" s="15">
        <v>274.0</v>
      </c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36" t="str">
        <f>'Owners Info'!A261</f>
        <v/>
      </c>
      <c r="B275" s="39" t="str">
        <f>'Owners Info'!B261</f>
        <v/>
      </c>
      <c r="C275" s="39" t="str">
        <f>'Owners Info'!F261</f>
        <v/>
      </c>
      <c r="D275" s="39" t="str">
        <f>'Owners Info'!I261</f>
        <v/>
      </c>
      <c r="E275" s="256" t="str">
        <f>'Owners Info'!J261</f>
        <v/>
      </c>
      <c r="F275" s="256" t="str">
        <f>'Owners Info'!K261</f>
        <v/>
      </c>
      <c r="G275" s="46" t="str">
        <f>'Owners Info'!L261</f>
        <v/>
      </c>
      <c r="H275" s="46" t="str">
        <f>'Owners Info'!C261</f>
        <v/>
      </c>
      <c r="I275" s="46" t="str">
        <f>'Owners Info'!M261</f>
        <v/>
      </c>
      <c r="J275" s="43" t="str">
        <f>'Owners Info'!G261</f>
        <v/>
      </c>
      <c r="K275" s="36"/>
      <c r="L275" s="36">
        <v>275.0</v>
      </c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15" t="str">
        <f>'Owners Info'!A262</f>
        <v/>
      </c>
      <c r="B276" s="20" t="str">
        <f>'Owners Info'!B262</f>
        <v/>
      </c>
      <c r="C276" s="20" t="str">
        <f>'Owners Info'!F262</f>
        <v/>
      </c>
      <c r="D276" s="20" t="str">
        <f>'Owners Info'!I262</f>
        <v/>
      </c>
      <c r="E276" s="257" t="str">
        <f>'Owners Info'!J262</f>
        <v/>
      </c>
      <c r="F276" s="257" t="str">
        <f>'Owners Info'!K262</f>
        <v/>
      </c>
      <c r="G276" s="28" t="str">
        <f>'Owners Info'!L262</f>
        <v/>
      </c>
      <c r="H276" s="28" t="str">
        <f>'Owners Info'!C262</f>
        <v/>
      </c>
      <c r="I276" s="28" t="str">
        <f>'Owners Info'!M262</f>
        <v/>
      </c>
      <c r="J276" s="27" t="str">
        <f>'Owners Info'!G262</f>
        <v/>
      </c>
      <c r="K276" s="15"/>
      <c r="L276" s="15">
        <v>276.0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36" t="str">
        <f>'Owners Info'!A263</f>
        <v/>
      </c>
      <c r="B277" s="39" t="str">
        <f>'Owners Info'!B263</f>
        <v/>
      </c>
      <c r="C277" s="39" t="str">
        <f>'Owners Info'!F263</f>
        <v/>
      </c>
      <c r="D277" s="39" t="str">
        <f>'Owners Info'!I263</f>
        <v/>
      </c>
      <c r="E277" s="256" t="str">
        <f>'Owners Info'!J263</f>
        <v/>
      </c>
      <c r="F277" s="256" t="str">
        <f>'Owners Info'!K263</f>
        <v/>
      </c>
      <c r="G277" s="46" t="str">
        <f>'Owners Info'!L263</f>
        <v/>
      </c>
      <c r="H277" s="46" t="str">
        <f>'Owners Info'!C263</f>
        <v/>
      </c>
      <c r="I277" s="46" t="str">
        <f>'Owners Info'!M263</f>
        <v/>
      </c>
      <c r="J277" s="43" t="str">
        <f>'Owners Info'!G263</f>
        <v/>
      </c>
      <c r="K277" s="36"/>
      <c r="L277" s="36">
        <v>277.0</v>
      </c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15" t="str">
        <f>'Owners Info'!A264</f>
        <v/>
      </c>
      <c r="B278" s="20" t="str">
        <f>'Owners Info'!B264</f>
        <v/>
      </c>
      <c r="C278" s="20" t="str">
        <f>'Owners Info'!F264</f>
        <v/>
      </c>
      <c r="D278" s="20" t="str">
        <f>'Owners Info'!I264</f>
        <v/>
      </c>
      <c r="E278" s="257" t="str">
        <f>'Owners Info'!J264</f>
        <v/>
      </c>
      <c r="F278" s="257" t="str">
        <f>'Owners Info'!K264</f>
        <v/>
      </c>
      <c r="G278" s="28" t="str">
        <f>'Owners Info'!L264</f>
        <v/>
      </c>
      <c r="H278" s="28" t="str">
        <f>'Owners Info'!C264</f>
        <v/>
      </c>
      <c r="I278" s="28" t="str">
        <f>'Owners Info'!M264</f>
        <v/>
      </c>
      <c r="J278" s="27" t="str">
        <f>'Owners Info'!G264</f>
        <v/>
      </c>
      <c r="K278" s="15"/>
      <c r="L278" s="15">
        <v>278.0</v>
      </c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36" t="str">
        <f>'Owners Info'!A265</f>
        <v/>
      </c>
      <c r="B279" s="39" t="str">
        <f>'Owners Info'!B265</f>
        <v/>
      </c>
      <c r="C279" s="39" t="str">
        <f>'Owners Info'!F265</f>
        <v/>
      </c>
      <c r="D279" s="39" t="str">
        <f>'Owners Info'!I265</f>
        <v/>
      </c>
      <c r="E279" s="256" t="str">
        <f>'Owners Info'!J265</f>
        <v/>
      </c>
      <c r="F279" s="256" t="str">
        <f>'Owners Info'!K265</f>
        <v/>
      </c>
      <c r="G279" s="46" t="str">
        <f>'Owners Info'!L265</f>
        <v/>
      </c>
      <c r="H279" s="46" t="str">
        <f>'Owners Info'!C265</f>
        <v/>
      </c>
      <c r="I279" s="46" t="str">
        <f>'Owners Info'!M265</f>
        <v/>
      </c>
      <c r="J279" s="43" t="str">
        <f>'Owners Info'!G265</f>
        <v/>
      </c>
      <c r="K279" s="36"/>
      <c r="L279" s="36">
        <v>279.0</v>
      </c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15" t="str">
        <f>'Owners Info'!A266</f>
        <v/>
      </c>
      <c r="B280" s="20" t="str">
        <f>'Owners Info'!B266</f>
        <v/>
      </c>
      <c r="C280" s="20" t="str">
        <f>'Owners Info'!F266</f>
        <v/>
      </c>
      <c r="D280" s="20" t="str">
        <f>'Owners Info'!I266</f>
        <v/>
      </c>
      <c r="E280" s="257" t="str">
        <f>'Owners Info'!J266</f>
        <v/>
      </c>
      <c r="F280" s="257" t="str">
        <f>'Owners Info'!K266</f>
        <v/>
      </c>
      <c r="G280" s="28" t="str">
        <f>'Owners Info'!L266</f>
        <v/>
      </c>
      <c r="H280" s="28" t="str">
        <f>'Owners Info'!C266</f>
        <v/>
      </c>
      <c r="I280" s="28" t="str">
        <f>'Owners Info'!M266</f>
        <v/>
      </c>
      <c r="J280" s="27" t="str">
        <f>'Owners Info'!G266</f>
        <v/>
      </c>
      <c r="K280" s="15"/>
      <c r="L280" s="15">
        <v>280.0</v>
      </c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36" t="str">
        <f>'Owners Info'!A267</f>
        <v/>
      </c>
      <c r="B281" s="39" t="str">
        <f>'Owners Info'!B267</f>
        <v/>
      </c>
      <c r="C281" s="39" t="str">
        <f>'Owners Info'!F267</f>
        <v/>
      </c>
      <c r="D281" s="39" t="str">
        <f>'Owners Info'!I267</f>
        <v/>
      </c>
      <c r="E281" s="256" t="str">
        <f>'Owners Info'!J267</f>
        <v/>
      </c>
      <c r="F281" s="256" t="str">
        <f>'Owners Info'!K267</f>
        <v/>
      </c>
      <c r="G281" s="46" t="str">
        <f>'Owners Info'!L267</f>
        <v/>
      </c>
      <c r="H281" s="46" t="str">
        <f>'Owners Info'!C267</f>
        <v/>
      </c>
      <c r="I281" s="46" t="str">
        <f>'Owners Info'!M267</f>
        <v/>
      </c>
      <c r="J281" s="43" t="str">
        <f>'Owners Info'!G267</f>
        <v/>
      </c>
      <c r="K281" s="36"/>
      <c r="L281" s="36">
        <v>281.0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15" t="str">
        <f>'Owners Info'!A268</f>
        <v/>
      </c>
      <c r="B282" s="20" t="str">
        <f>'Owners Info'!B268</f>
        <v/>
      </c>
      <c r="C282" s="20" t="str">
        <f>'Owners Info'!F268</f>
        <v/>
      </c>
      <c r="D282" s="20" t="str">
        <f>'Owners Info'!I268</f>
        <v/>
      </c>
      <c r="E282" s="257" t="str">
        <f>'Owners Info'!J268</f>
        <v/>
      </c>
      <c r="F282" s="257" t="str">
        <f>'Owners Info'!K268</f>
        <v/>
      </c>
      <c r="G282" s="28" t="str">
        <f>'Owners Info'!L268</f>
        <v/>
      </c>
      <c r="H282" s="28" t="str">
        <f>'Owners Info'!C268</f>
        <v/>
      </c>
      <c r="I282" s="28" t="str">
        <f>'Owners Info'!M268</f>
        <v/>
      </c>
      <c r="J282" s="27" t="str">
        <f>'Owners Info'!G268</f>
        <v/>
      </c>
      <c r="K282" s="15"/>
      <c r="L282" s="15">
        <v>282.0</v>
      </c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36" t="str">
        <f>'Owners Info'!A269</f>
        <v/>
      </c>
      <c r="B283" s="39" t="str">
        <f>'Owners Info'!B269</f>
        <v/>
      </c>
      <c r="C283" s="39" t="str">
        <f>'Owners Info'!F269</f>
        <v/>
      </c>
      <c r="D283" s="39" t="str">
        <f>'Owners Info'!I269</f>
        <v/>
      </c>
      <c r="E283" s="256" t="str">
        <f>'Owners Info'!J269</f>
        <v/>
      </c>
      <c r="F283" s="256" t="str">
        <f>'Owners Info'!K269</f>
        <v/>
      </c>
      <c r="G283" s="46" t="str">
        <f>'Owners Info'!L269</f>
        <v/>
      </c>
      <c r="H283" s="46" t="str">
        <f>'Owners Info'!C269</f>
        <v/>
      </c>
      <c r="I283" s="46" t="str">
        <f>'Owners Info'!M269</f>
        <v/>
      </c>
      <c r="J283" s="43" t="str">
        <f>'Owners Info'!G269</f>
        <v/>
      </c>
      <c r="K283" s="36"/>
      <c r="L283" s="36">
        <v>283.0</v>
      </c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15" t="str">
        <f>'Owners Info'!A270</f>
        <v/>
      </c>
      <c r="B284" s="20" t="str">
        <f>'Owners Info'!B270</f>
        <v/>
      </c>
      <c r="C284" s="20" t="str">
        <f>'Owners Info'!F270</f>
        <v/>
      </c>
      <c r="D284" s="20" t="str">
        <f>'Owners Info'!I270</f>
        <v/>
      </c>
      <c r="E284" s="257" t="str">
        <f>'Owners Info'!J270</f>
        <v/>
      </c>
      <c r="F284" s="257" t="str">
        <f>'Owners Info'!K270</f>
        <v/>
      </c>
      <c r="G284" s="28" t="str">
        <f>'Owners Info'!L270</f>
        <v/>
      </c>
      <c r="H284" s="28" t="str">
        <f>'Owners Info'!C270</f>
        <v/>
      </c>
      <c r="I284" s="28" t="str">
        <f>'Owners Info'!M270</f>
        <v/>
      </c>
      <c r="J284" s="27" t="str">
        <f>'Owners Info'!G270</f>
        <v/>
      </c>
      <c r="K284" s="15"/>
      <c r="L284" s="15">
        <v>284.0</v>
      </c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36" t="str">
        <f>'Owners Info'!A271</f>
        <v/>
      </c>
      <c r="B285" s="39" t="str">
        <f>'Owners Info'!B271</f>
        <v/>
      </c>
      <c r="C285" s="39" t="str">
        <f>'Owners Info'!F271</f>
        <v/>
      </c>
      <c r="D285" s="39" t="str">
        <f>'Owners Info'!I271</f>
        <v/>
      </c>
      <c r="E285" s="256" t="str">
        <f>'Owners Info'!J271</f>
        <v/>
      </c>
      <c r="F285" s="256" t="str">
        <f>'Owners Info'!K271</f>
        <v/>
      </c>
      <c r="G285" s="46" t="str">
        <f>'Owners Info'!L271</f>
        <v/>
      </c>
      <c r="H285" s="46" t="str">
        <f>'Owners Info'!C271</f>
        <v/>
      </c>
      <c r="I285" s="46" t="str">
        <f>'Owners Info'!M271</f>
        <v/>
      </c>
      <c r="J285" s="43" t="str">
        <f>'Owners Info'!G271</f>
        <v/>
      </c>
      <c r="K285" s="36"/>
      <c r="L285" s="36">
        <v>285.0</v>
      </c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15" t="str">
        <f>'Owners Info'!A272</f>
        <v/>
      </c>
      <c r="B286" s="20" t="str">
        <f>'Owners Info'!B272</f>
        <v/>
      </c>
      <c r="C286" s="20" t="str">
        <f>'Owners Info'!F272</f>
        <v/>
      </c>
      <c r="D286" s="20" t="str">
        <f>'Owners Info'!I272</f>
        <v/>
      </c>
      <c r="E286" s="257" t="str">
        <f>'Owners Info'!J272</f>
        <v/>
      </c>
      <c r="F286" s="257" t="str">
        <f>'Owners Info'!K272</f>
        <v/>
      </c>
      <c r="G286" s="28" t="str">
        <f>'Owners Info'!L272</f>
        <v/>
      </c>
      <c r="H286" s="28" t="str">
        <f>'Owners Info'!C272</f>
        <v/>
      </c>
      <c r="I286" s="28" t="str">
        <f>'Owners Info'!M272</f>
        <v/>
      </c>
      <c r="J286" s="27" t="str">
        <f>'Owners Info'!G272</f>
        <v/>
      </c>
      <c r="K286" s="15"/>
      <c r="L286" s="15">
        <v>286.0</v>
      </c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36" t="str">
        <f>'Owners Info'!A273</f>
        <v/>
      </c>
      <c r="B287" s="39" t="str">
        <f>'Owners Info'!B273</f>
        <v/>
      </c>
      <c r="C287" s="39" t="str">
        <f>'Owners Info'!F273</f>
        <v/>
      </c>
      <c r="D287" s="39" t="str">
        <f>'Owners Info'!I273</f>
        <v/>
      </c>
      <c r="E287" s="256" t="str">
        <f>'Owners Info'!J273</f>
        <v/>
      </c>
      <c r="F287" s="256" t="str">
        <f>'Owners Info'!K273</f>
        <v/>
      </c>
      <c r="G287" s="46" t="str">
        <f>'Owners Info'!L273</f>
        <v/>
      </c>
      <c r="H287" s="46" t="str">
        <f>'Owners Info'!C273</f>
        <v/>
      </c>
      <c r="I287" s="46" t="str">
        <f>'Owners Info'!M273</f>
        <v/>
      </c>
      <c r="J287" s="43" t="str">
        <f>'Owners Info'!G273</f>
        <v/>
      </c>
      <c r="K287" s="36"/>
      <c r="L287" s="36">
        <v>287.0</v>
      </c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15" t="str">
        <f>'Owners Info'!A274</f>
        <v/>
      </c>
      <c r="B288" s="20" t="str">
        <f>'Owners Info'!B274</f>
        <v/>
      </c>
      <c r="C288" s="20" t="str">
        <f>'Owners Info'!F274</f>
        <v/>
      </c>
      <c r="D288" s="20" t="str">
        <f>'Owners Info'!I274</f>
        <v/>
      </c>
      <c r="E288" s="257" t="str">
        <f>'Owners Info'!J274</f>
        <v/>
      </c>
      <c r="F288" s="257" t="str">
        <f>'Owners Info'!K274</f>
        <v/>
      </c>
      <c r="G288" s="28" t="str">
        <f>'Owners Info'!L274</f>
        <v/>
      </c>
      <c r="H288" s="28" t="str">
        <f>'Owners Info'!C274</f>
        <v/>
      </c>
      <c r="I288" s="28" t="str">
        <f>'Owners Info'!M274</f>
        <v/>
      </c>
      <c r="J288" s="27" t="str">
        <f>'Owners Info'!G274</f>
        <v/>
      </c>
      <c r="K288" s="15"/>
      <c r="L288" s="15">
        <v>288.0</v>
      </c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36" t="str">
        <f>'Owners Info'!A275</f>
        <v/>
      </c>
      <c r="B289" s="39" t="str">
        <f>'Owners Info'!B275</f>
        <v/>
      </c>
      <c r="C289" s="39" t="str">
        <f>'Owners Info'!F275</f>
        <v/>
      </c>
      <c r="D289" s="39" t="str">
        <f>'Owners Info'!I275</f>
        <v/>
      </c>
      <c r="E289" s="256" t="str">
        <f>'Owners Info'!J275</f>
        <v/>
      </c>
      <c r="F289" s="256" t="str">
        <f>'Owners Info'!K275</f>
        <v/>
      </c>
      <c r="G289" s="46" t="str">
        <f>'Owners Info'!L275</f>
        <v/>
      </c>
      <c r="H289" s="46" t="str">
        <f>'Owners Info'!C275</f>
        <v/>
      </c>
      <c r="I289" s="46" t="str">
        <f>'Owners Info'!M275</f>
        <v/>
      </c>
      <c r="J289" s="43" t="str">
        <f>'Owners Info'!G275</f>
        <v/>
      </c>
      <c r="K289" s="36"/>
      <c r="L289" s="36">
        <v>289.0</v>
      </c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15" t="str">
        <f>'Owners Info'!A276</f>
        <v/>
      </c>
      <c r="B290" s="20" t="str">
        <f>'Owners Info'!B276</f>
        <v/>
      </c>
      <c r="C290" s="20" t="str">
        <f>'Owners Info'!F276</f>
        <v/>
      </c>
      <c r="D290" s="20" t="str">
        <f>'Owners Info'!I276</f>
        <v/>
      </c>
      <c r="E290" s="257" t="str">
        <f>'Owners Info'!J276</f>
        <v/>
      </c>
      <c r="F290" s="257" t="str">
        <f>'Owners Info'!K276</f>
        <v/>
      </c>
      <c r="G290" s="28" t="str">
        <f>'Owners Info'!L276</f>
        <v/>
      </c>
      <c r="H290" s="28" t="str">
        <f>'Owners Info'!C276</f>
        <v/>
      </c>
      <c r="I290" s="28" t="str">
        <f>'Owners Info'!M276</f>
        <v/>
      </c>
      <c r="J290" s="27" t="str">
        <f>'Owners Info'!G276</f>
        <v/>
      </c>
      <c r="K290" s="15"/>
      <c r="L290" s="15">
        <v>290.0</v>
      </c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36" t="str">
        <f>'Owners Info'!A277</f>
        <v/>
      </c>
      <c r="B291" s="39" t="str">
        <f>'Owners Info'!B277</f>
        <v/>
      </c>
      <c r="C291" s="39" t="str">
        <f>'Owners Info'!F277</f>
        <v/>
      </c>
      <c r="D291" s="39" t="str">
        <f>'Owners Info'!I277</f>
        <v/>
      </c>
      <c r="E291" s="256" t="str">
        <f>'Owners Info'!J277</f>
        <v/>
      </c>
      <c r="F291" s="256" t="str">
        <f>'Owners Info'!K277</f>
        <v/>
      </c>
      <c r="G291" s="46" t="str">
        <f>'Owners Info'!L277</f>
        <v/>
      </c>
      <c r="H291" s="46" t="str">
        <f>'Owners Info'!C277</f>
        <v/>
      </c>
      <c r="I291" s="46" t="str">
        <f>'Owners Info'!M277</f>
        <v/>
      </c>
      <c r="J291" s="43" t="str">
        <f>'Owners Info'!G277</f>
        <v/>
      </c>
      <c r="K291" s="36"/>
      <c r="L291" s="36">
        <v>291.0</v>
      </c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15" t="str">
        <f>'Owners Info'!A278</f>
        <v/>
      </c>
      <c r="B292" s="20" t="str">
        <f>'Owners Info'!B278</f>
        <v/>
      </c>
      <c r="C292" s="20" t="str">
        <f>'Owners Info'!F278</f>
        <v/>
      </c>
      <c r="D292" s="20" t="str">
        <f>'Owners Info'!I278</f>
        <v/>
      </c>
      <c r="E292" s="257" t="str">
        <f>'Owners Info'!J278</f>
        <v/>
      </c>
      <c r="F292" s="257" t="str">
        <f>'Owners Info'!K278</f>
        <v/>
      </c>
      <c r="G292" s="28" t="str">
        <f>'Owners Info'!L278</f>
        <v/>
      </c>
      <c r="H292" s="28" t="str">
        <f>'Owners Info'!C278</f>
        <v/>
      </c>
      <c r="I292" s="28" t="str">
        <f>'Owners Info'!M278</f>
        <v/>
      </c>
      <c r="J292" s="27" t="str">
        <f>'Owners Info'!G278</f>
        <v/>
      </c>
      <c r="K292" s="15"/>
      <c r="L292" s="15">
        <v>292.0</v>
      </c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36" t="str">
        <f>'Owners Info'!A279</f>
        <v/>
      </c>
      <c r="B293" s="39" t="str">
        <f>'Owners Info'!B279</f>
        <v/>
      </c>
      <c r="C293" s="39" t="str">
        <f>'Owners Info'!F279</f>
        <v/>
      </c>
      <c r="D293" s="39" t="str">
        <f>'Owners Info'!I279</f>
        <v/>
      </c>
      <c r="E293" s="256" t="str">
        <f>'Owners Info'!J279</f>
        <v/>
      </c>
      <c r="F293" s="256" t="str">
        <f>'Owners Info'!K279</f>
        <v/>
      </c>
      <c r="G293" s="46" t="str">
        <f>'Owners Info'!L279</f>
        <v/>
      </c>
      <c r="H293" s="46" t="str">
        <f>'Owners Info'!C279</f>
        <v/>
      </c>
      <c r="I293" s="46" t="str">
        <f>'Owners Info'!M279</f>
        <v/>
      </c>
      <c r="J293" s="43" t="str">
        <f>'Owners Info'!G279</f>
        <v/>
      </c>
      <c r="K293" s="36"/>
      <c r="L293" s="36">
        <v>293.0</v>
      </c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15" t="str">
        <f>'Owners Info'!A280</f>
        <v/>
      </c>
      <c r="B294" s="20" t="str">
        <f>'Owners Info'!B280</f>
        <v/>
      </c>
      <c r="C294" s="20" t="str">
        <f>'Owners Info'!F280</f>
        <v/>
      </c>
      <c r="D294" s="20" t="str">
        <f>'Owners Info'!I280</f>
        <v/>
      </c>
      <c r="E294" s="257" t="str">
        <f>'Owners Info'!J280</f>
        <v/>
      </c>
      <c r="F294" s="257" t="str">
        <f>'Owners Info'!K280</f>
        <v/>
      </c>
      <c r="G294" s="28" t="str">
        <f>'Owners Info'!L280</f>
        <v/>
      </c>
      <c r="H294" s="28" t="str">
        <f>'Owners Info'!C280</f>
        <v/>
      </c>
      <c r="I294" s="28" t="str">
        <f>'Owners Info'!M280</f>
        <v/>
      </c>
      <c r="J294" s="27" t="str">
        <f>'Owners Info'!G280</f>
        <v/>
      </c>
      <c r="K294" s="15"/>
      <c r="L294" s="15">
        <v>294.0</v>
      </c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36" t="str">
        <f>'Owners Info'!A281</f>
        <v/>
      </c>
      <c r="B295" s="39" t="str">
        <f>'Owners Info'!B281</f>
        <v/>
      </c>
      <c r="C295" s="39" t="str">
        <f>'Owners Info'!F281</f>
        <v/>
      </c>
      <c r="D295" s="39" t="str">
        <f>'Owners Info'!I281</f>
        <v/>
      </c>
      <c r="E295" s="256" t="str">
        <f>'Owners Info'!J281</f>
        <v/>
      </c>
      <c r="F295" s="256" t="str">
        <f>'Owners Info'!K281</f>
        <v/>
      </c>
      <c r="G295" s="46" t="str">
        <f>'Owners Info'!L281</f>
        <v/>
      </c>
      <c r="H295" s="46" t="str">
        <f>'Owners Info'!C281</f>
        <v/>
      </c>
      <c r="I295" s="46" t="str">
        <f>'Owners Info'!M281</f>
        <v/>
      </c>
      <c r="J295" s="43" t="str">
        <f>'Owners Info'!G281</f>
        <v/>
      </c>
      <c r="K295" s="36"/>
      <c r="L295" s="36">
        <v>295.0</v>
      </c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15" t="str">
        <f>'Owners Info'!A282</f>
        <v/>
      </c>
      <c r="B296" s="20" t="str">
        <f>'Owners Info'!B282</f>
        <v/>
      </c>
      <c r="C296" s="20" t="str">
        <f>'Owners Info'!F282</f>
        <v/>
      </c>
      <c r="D296" s="20" t="str">
        <f>'Owners Info'!I282</f>
        <v/>
      </c>
      <c r="E296" s="257" t="str">
        <f>'Owners Info'!J282</f>
        <v/>
      </c>
      <c r="F296" s="257" t="str">
        <f>'Owners Info'!K282</f>
        <v/>
      </c>
      <c r="G296" s="28" t="str">
        <f>'Owners Info'!L282</f>
        <v/>
      </c>
      <c r="H296" s="28" t="str">
        <f>'Owners Info'!C282</f>
        <v/>
      </c>
      <c r="I296" s="28" t="str">
        <f>'Owners Info'!M282</f>
        <v/>
      </c>
      <c r="J296" s="27" t="str">
        <f>'Owners Info'!G282</f>
        <v/>
      </c>
      <c r="K296" s="15"/>
      <c r="L296" s="15">
        <v>296.0</v>
      </c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36" t="str">
        <f>'Owners Info'!A283</f>
        <v/>
      </c>
      <c r="B297" s="39" t="str">
        <f>'Owners Info'!B283</f>
        <v/>
      </c>
      <c r="C297" s="39" t="str">
        <f>'Owners Info'!F283</f>
        <v/>
      </c>
      <c r="D297" s="39" t="str">
        <f>'Owners Info'!I283</f>
        <v/>
      </c>
      <c r="E297" s="256" t="str">
        <f>'Owners Info'!J283</f>
        <v/>
      </c>
      <c r="F297" s="256" t="str">
        <f>'Owners Info'!K283</f>
        <v/>
      </c>
      <c r="G297" s="46" t="str">
        <f>'Owners Info'!L283</f>
        <v/>
      </c>
      <c r="H297" s="46" t="str">
        <f>'Owners Info'!C283</f>
        <v/>
      </c>
      <c r="I297" s="46" t="str">
        <f>'Owners Info'!M283</f>
        <v/>
      </c>
      <c r="J297" s="43" t="str">
        <f>'Owners Info'!G283</f>
        <v/>
      </c>
      <c r="K297" s="36"/>
      <c r="L297" s="36">
        <v>297.0</v>
      </c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15" t="str">
        <f>'Owners Info'!A284</f>
        <v/>
      </c>
      <c r="B298" s="20" t="str">
        <f>'Owners Info'!B284</f>
        <v/>
      </c>
      <c r="C298" s="20" t="str">
        <f>'Owners Info'!F284</f>
        <v/>
      </c>
      <c r="D298" s="20" t="str">
        <f>'Owners Info'!I284</f>
        <v/>
      </c>
      <c r="E298" s="257" t="str">
        <f>'Owners Info'!J284</f>
        <v/>
      </c>
      <c r="F298" s="257" t="str">
        <f>'Owners Info'!K284</f>
        <v/>
      </c>
      <c r="G298" s="28" t="str">
        <f>'Owners Info'!L284</f>
        <v/>
      </c>
      <c r="H298" s="28" t="str">
        <f>'Owners Info'!C284</f>
        <v/>
      </c>
      <c r="I298" s="28" t="str">
        <f>'Owners Info'!M284</f>
        <v/>
      </c>
      <c r="J298" s="27" t="str">
        <f>'Owners Info'!G284</f>
        <v/>
      </c>
      <c r="K298" s="15"/>
      <c r="L298" s="15">
        <v>298.0</v>
      </c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36" t="str">
        <f>'Owners Info'!A285</f>
        <v/>
      </c>
      <c r="B299" s="39" t="str">
        <f>'Owners Info'!B285</f>
        <v/>
      </c>
      <c r="C299" s="39" t="str">
        <f>'Owners Info'!F285</f>
        <v/>
      </c>
      <c r="D299" s="39" t="str">
        <f>'Owners Info'!I285</f>
        <v/>
      </c>
      <c r="E299" s="256" t="str">
        <f>'Owners Info'!J285</f>
        <v/>
      </c>
      <c r="F299" s="256" t="str">
        <f>'Owners Info'!K285</f>
        <v/>
      </c>
      <c r="G299" s="46" t="str">
        <f>'Owners Info'!L285</f>
        <v/>
      </c>
      <c r="H299" s="46" t="str">
        <f>'Owners Info'!C285</f>
        <v/>
      </c>
      <c r="I299" s="46" t="str">
        <f>'Owners Info'!M285</f>
        <v/>
      </c>
      <c r="J299" s="43" t="str">
        <f>'Owners Info'!G285</f>
        <v/>
      </c>
      <c r="K299" s="36"/>
      <c r="L299" s="36">
        <v>299.0</v>
      </c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15"/>
      <c r="B300" s="20"/>
      <c r="C300" s="20"/>
      <c r="D300" s="20"/>
      <c r="E300" s="27"/>
      <c r="F300" s="27"/>
      <c r="G300" s="28"/>
      <c r="H300" s="28"/>
      <c r="I300" s="28"/>
      <c r="J300" s="27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36"/>
      <c r="B301" s="39"/>
      <c r="C301" s="39"/>
      <c r="D301" s="39"/>
      <c r="E301" s="43"/>
      <c r="F301" s="43"/>
      <c r="G301" s="46"/>
      <c r="H301" s="46"/>
      <c r="I301" s="46"/>
      <c r="J301" s="43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15"/>
      <c r="B302" s="20"/>
      <c r="C302" s="20"/>
      <c r="D302" s="20"/>
      <c r="E302" s="27"/>
      <c r="F302" s="27"/>
      <c r="G302" s="28"/>
      <c r="H302" s="28"/>
      <c r="I302" s="28"/>
      <c r="J302" s="27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36"/>
      <c r="B303" s="39"/>
      <c r="C303" s="39"/>
      <c r="D303" s="39"/>
      <c r="E303" s="43"/>
      <c r="F303" s="43"/>
      <c r="G303" s="46"/>
      <c r="H303" s="46"/>
      <c r="I303" s="46"/>
      <c r="J303" s="43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15"/>
      <c r="B304" s="20"/>
      <c r="C304" s="20"/>
      <c r="D304" s="20"/>
      <c r="E304" s="27"/>
      <c r="F304" s="27"/>
      <c r="G304" s="28"/>
      <c r="H304" s="28"/>
      <c r="I304" s="28"/>
      <c r="J304" s="27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36"/>
      <c r="B305" s="39"/>
      <c r="C305" s="39"/>
      <c r="D305" s="39"/>
      <c r="E305" s="43"/>
      <c r="F305" s="43"/>
      <c r="G305" s="46"/>
      <c r="H305" s="46"/>
      <c r="I305" s="46"/>
      <c r="J305" s="43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15"/>
      <c r="B306" s="20"/>
      <c r="C306" s="20"/>
      <c r="D306" s="20"/>
      <c r="E306" s="27"/>
      <c r="F306" s="27"/>
      <c r="G306" s="28"/>
      <c r="H306" s="28"/>
      <c r="I306" s="28"/>
      <c r="J306" s="27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36"/>
      <c r="B307" s="39"/>
      <c r="C307" s="39"/>
      <c r="D307" s="39"/>
      <c r="E307" s="43"/>
      <c r="F307" s="43"/>
      <c r="G307" s="46"/>
      <c r="H307" s="46"/>
      <c r="I307" s="46"/>
      <c r="J307" s="43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15"/>
      <c r="B308" s="20"/>
      <c r="C308" s="20"/>
      <c r="D308" s="20"/>
      <c r="E308" s="27"/>
      <c r="F308" s="27"/>
      <c r="G308" s="28"/>
      <c r="H308" s="28"/>
      <c r="I308" s="28"/>
      <c r="J308" s="27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36"/>
      <c r="B309" s="39"/>
      <c r="C309" s="39"/>
      <c r="D309" s="39"/>
      <c r="E309" s="43"/>
      <c r="F309" s="43"/>
      <c r="G309" s="46"/>
      <c r="H309" s="46"/>
      <c r="I309" s="46"/>
      <c r="J309" s="43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15"/>
      <c r="B310" s="20"/>
      <c r="C310" s="20"/>
      <c r="D310" s="20"/>
      <c r="E310" s="27"/>
      <c r="F310" s="27"/>
      <c r="G310" s="28"/>
      <c r="H310" s="28"/>
      <c r="I310" s="28"/>
      <c r="J310" s="27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36"/>
      <c r="B311" s="39"/>
      <c r="C311" s="39"/>
      <c r="D311" s="39"/>
      <c r="E311" s="43"/>
      <c r="F311" s="43"/>
      <c r="G311" s="46"/>
      <c r="H311" s="46"/>
      <c r="I311" s="46"/>
      <c r="J311" s="43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15"/>
      <c r="B312" s="20"/>
      <c r="C312" s="20"/>
      <c r="D312" s="20"/>
      <c r="E312" s="27"/>
      <c r="F312" s="27"/>
      <c r="G312" s="28"/>
      <c r="H312" s="28"/>
      <c r="I312" s="28"/>
      <c r="J312" s="27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36"/>
      <c r="B313" s="39"/>
      <c r="C313" s="39"/>
      <c r="D313" s="39"/>
      <c r="E313" s="43"/>
      <c r="F313" s="43"/>
      <c r="G313" s="46"/>
      <c r="H313" s="46"/>
      <c r="I313" s="46"/>
      <c r="J313" s="43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15"/>
      <c r="B314" s="20"/>
      <c r="C314" s="20"/>
      <c r="D314" s="20"/>
      <c r="E314" s="27"/>
      <c r="F314" s="27"/>
      <c r="G314" s="28"/>
      <c r="H314" s="28"/>
      <c r="I314" s="28"/>
      <c r="J314" s="27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36"/>
      <c r="B315" s="39"/>
      <c r="C315" s="39"/>
      <c r="D315" s="39"/>
      <c r="E315" s="43"/>
      <c r="F315" s="43"/>
      <c r="G315" s="46"/>
      <c r="H315" s="46"/>
      <c r="I315" s="46"/>
      <c r="J315" s="43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15"/>
      <c r="B316" s="20"/>
      <c r="C316" s="20"/>
      <c r="D316" s="20"/>
      <c r="E316" s="27"/>
      <c r="F316" s="27"/>
      <c r="G316" s="28"/>
      <c r="H316" s="28"/>
      <c r="I316" s="28"/>
      <c r="J316" s="27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36"/>
      <c r="B317" s="39"/>
      <c r="C317" s="39"/>
      <c r="D317" s="39"/>
      <c r="E317" s="43"/>
      <c r="F317" s="43"/>
      <c r="G317" s="46"/>
      <c r="H317" s="46"/>
      <c r="I317" s="46"/>
      <c r="J317" s="43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15"/>
      <c r="B318" s="20"/>
      <c r="C318" s="20"/>
      <c r="D318" s="20"/>
      <c r="E318" s="27"/>
      <c r="F318" s="27"/>
      <c r="G318" s="28"/>
      <c r="H318" s="28"/>
      <c r="I318" s="28"/>
      <c r="J318" s="27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36"/>
      <c r="B319" s="39"/>
      <c r="C319" s="39"/>
      <c r="D319" s="39"/>
      <c r="E319" s="43"/>
      <c r="F319" s="43"/>
      <c r="G319" s="46"/>
      <c r="H319" s="46"/>
      <c r="I319" s="46"/>
      <c r="J319" s="43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15"/>
      <c r="B320" s="20"/>
      <c r="C320" s="20"/>
      <c r="D320" s="20"/>
      <c r="E320" s="27"/>
      <c r="F320" s="27"/>
      <c r="G320" s="28"/>
      <c r="H320" s="28"/>
      <c r="I320" s="28"/>
      <c r="J320" s="27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36"/>
      <c r="B321" s="39"/>
      <c r="C321" s="39"/>
      <c r="D321" s="39"/>
      <c r="E321" s="43"/>
      <c r="F321" s="43"/>
      <c r="G321" s="46"/>
      <c r="H321" s="46"/>
      <c r="I321" s="46"/>
      <c r="J321" s="43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15"/>
      <c r="B322" s="20"/>
      <c r="C322" s="20"/>
      <c r="D322" s="20"/>
      <c r="E322" s="27"/>
      <c r="F322" s="27"/>
      <c r="G322" s="28"/>
      <c r="H322" s="28"/>
      <c r="I322" s="28"/>
      <c r="J322" s="27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36"/>
      <c r="B323" s="39"/>
      <c r="C323" s="39"/>
      <c r="D323" s="39"/>
      <c r="E323" s="43"/>
      <c r="F323" s="43"/>
      <c r="G323" s="46"/>
      <c r="H323" s="46"/>
      <c r="I323" s="46"/>
      <c r="J323" s="43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15"/>
      <c r="B324" s="20"/>
      <c r="C324" s="20"/>
      <c r="D324" s="20"/>
      <c r="E324" s="27"/>
      <c r="F324" s="27"/>
      <c r="G324" s="28"/>
      <c r="H324" s="28"/>
      <c r="I324" s="28"/>
      <c r="J324" s="27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36"/>
      <c r="B325" s="39"/>
      <c r="C325" s="39"/>
      <c r="D325" s="39"/>
      <c r="E325" s="43"/>
      <c r="F325" s="43"/>
      <c r="G325" s="46"/>
      <c r="H325" s="46"/>
      <c r="I325" s="46"/>
      <c r="J325" s="43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15"/>
      <c r="B326" s="20"/>
      <c r="C326" s="20"/>
      <c r="D326" s="20"/>
      <c r="E326" s="27"/>
      <c r="F326" s="27"/>
      <c r="G326" s="28"/>
      <c r="H326" s="28"/>
      <c r="I326" s="28"/>
      <c r="J326" s="27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36"/>
      <c r="B327" s="39"/>
      <c r="C327" s="39"/>
      <c r="D327" s="39"/>
      <c r="E327" s="43"/>
      <c r="F327" s="43"/>
      <c r="G327" s="46"/>
      <c r="H327" s="46"/>
      <c r="I327" s="46"/>
      <c r="J327" s="43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15"/>
      <c r="B328" s="20"/>
      <c r="C328" s="20"/>
      <c r="D328" s="20"/>
      <c r="E328" s="27"/>
      <c r="F328" s="27"/>
      <c r="G328" s="28"/>
      <c r="H328" s="28"/>
      <c r="I328" s="28"/>
      <c r="J328" s="27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36"/>
      <c r="B329" s="39"/>
      <c r="C329" s="39"/>
      <c r="D329" s="39"/>
      <c r="E329" s="43"/>
      <c r="F329" s="43"/>
      <c r="G329" s="46"/>
      <c r="H329" s="46"/>
      <c r="I329" s="46"/>
      <c r="J329" s="43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15"/>
      <c r="B330" s="20"/>
      <c r="C330" s="20"/>
      <c r="D330" s="20"/>
      <c r="E330" s="27"/>
      <c r="F330" s="27"/>
      <c r="G330" s="28"/>
      <c r="H330" s="28"/>
      <c r="I330" s="28"/>
      <c r="J330" s="27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36"/>
      <c r="B331" s="39"/>
      <c r="C331" s="39"/>
      <c r="D331" s="39"/>
      <c r="E331" s="43"/>
      <c r="F331" s="43"/>
      <c r="G331" s="46"/>
      <c r="H331" s="46"/>
      <c r="I331" s="46"/>
      <c r="J331" s="43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15"/>
      <c r="B332" s="20"/>
      <c r="C332" s="20"/>
      <c r="D332" s="20"/>
      <c r="E332" s="27"/>
      <c r="F332" s="27"/>
      <c r="G332" s="28"/>
      <c r="H332" s="28"/>
      <c r="I332" s="28"/>
      <c r="J332" s="27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36"/>
      <c r="B333" s="39"/>
      <c r="C333" s="39"/>
      <c r="D333" s="39"/>
      <c r="E333" s="43"/>
      <c r="F333" s="43"/>
      <c r="G333" s="46"/>
      <c r="H333" s="46"/>
      <c r="I333" s="46"/>
      <c r="J333" s="43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15"/>
      <c r="B334" s="20"/>
      <c r="C334" s="20"/>
      <c r="D334" s="20"/>
      <c r="E334" s="27"/>
      <c r="F334" s="27"/>
      <c r="G334" s="28"/>
      <c r="H334" s="28"/>
      <c r="I334" s="28"/>
      <c r="J334" s="27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36"/>
      <c r="B335" s="39"/>
      <c r="C335" s="39"/>
      <c r="D335" s="39"/>
      <c r="E335" s="43"/>
      <c r="F335" s="43"/>
      <c r="G335" s="46"/>
      <c r="H335" s="46"/>
      <c r="I335" s="46"/>
      <c r="J335" s="43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15"/>
      <c r="B336" s="20"/>
      <c r="C336" s="20"/>
      <c r="D336" s="20"/>
      <c r="E336" s="27"/>
      <c r="F336" s="27"/>
      <c r="G336" s="28"/>
      <c r="H336" s="28"/>
      <c r="I336" s="28"/>
      <c r="J336" s="27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36"/>
      <c r="B337" s="39"/>
      <c r="C337" s="39"/>
      <c r="D337" s="39"/>
      <c r="E337" s="43"/>
      <c r="F337" s="43"/>
      <c r="G337" s="46"/>
      <c r="H337" s="46"/>
      <c r="I337" s="46"/>
      <c r="J337" s="43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15"/>
      <c r="B338" s="20"/>
      <c r="C338" s="20"/>
      <c r="D338" s="20"/>
      <c r="E338" s="27"/>
      <c r="F338" s="27"/>
      <c r="G338" s="28"/>
      <c r="H338" s="28"/>
      <c r="I338" s="28"/>
      <c r="J338" s="27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36"/>
      <c r="B339" s="39"/>
      <c r="C339" s="39"/>
      <c r="D339" s="39"/>
      <c r="E339" s="43"/>
      <c r="F339" s="43"/>
      <c r="G339" s="46"/>
      <c r="H339" s="46"/>
      <c r="I339" s="46"/>
      <c r="J339" s="43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15"/>
      <c r="B340" s="20"/>
      <c r="C340" s="20"/>
      <c r="D340" s="20"/>
      <c r="E340" s="27"/>
      <c r="F340" s="27"/>
      <c r="G340" s="28"/>
      <c r="H340" s="28"/>
      <c r="I340" s="28"/>
      <c r="J340" s="27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36"/>
      <c r="B341" s="39"/>
      <c r="C341" s="39"/>
      <c r="D341" s="39"/>
      <c r="E341" s="43"/>
      <c r="F341" s="43"/>
      <c r="G341" s="46"/>
      <c r="H341" s="46"/>
      <c r="I341" s="46"/>
      <c r="J341" s="43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15"/>
      <c r="B342" s="20"/>
      <c r="C342" s="20"/>
      <c r="D342" s="20"/>
      <c r="E342" s="27"/>
      <c r="F342" s="27"/>
      <c r="G342" s="28"/>
      <c r="H342" s="28"/>
      <c r="I342" s="28"/>
      <c r="J342" s="27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36"/>
      <c r="B343" s="39"/>
      <c r="C343" s="39"/>
      <c r="D343" s="39"/>
      <c r="E343" s="43"/>
      <c r="F343" s="43"/>
      <c r="G343" s="46"/>
      <c r="H343" s="46"/>
      <c r="I343" s="46"/>
      <c r="J343" s="43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15"/>
      <c r="B344" s="20"/>
      <c r="C344" s="20"/>
      <c r="D344" s="20"/>
      <c r="E344" s="27"/>
      <c r="F344" s="27"/>
      <c r="G344" s="28"/>
      <c r="H344" s="28"/>
      <c r="I344" s="28"/>
      <c r="J344" s="27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36"/>
      <c r="B345" s="39"/>
      <c r="C345" s="39"/>
      <c r="D345" s="39"/>
      <c r="E345" s="43"/>
      <c r="F345" s="43"/>
      <c r="G345" s="46"/>
      <c r="H345" s="46"/>
      <c r="I345" s="46"/>
      <c r="J345" s="43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15"/>
      <c r="B346" s="20"/>
      <c r="C346" s="20"/>
      <c r="D346" s="20"/>
      <c r="E346" s="27"/>
      <c r="F346" s="27"/>
      <c r="G346" s="28"/>
      <c r="H346" s="28"/>
      <c r="I346" s="28"/>
      <c r="J346" s="27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36"/>
      <c r="B347" s="39"/>
      <c r="C347" s="39"/>
      <c r="D347" s="39"/>
      <c r="E347" s="43"/>
      <c r="F347" s="43"/>
      <c r="G347" s="46"/>
      <c r="H347" s="46"/>
      <c r="I347" s="46"/>
      <c r="J347" s="43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15"/>
      <c r="B348" s="20"/>
      <c r="C348" s="20"/>
      <c r="D348" s="20"/>
      <c r="E348" s="27"/>
      <c r="F348" s="27"/>
      <c r="G348" s="28"/>
      <c r="H348" s="28"/>
      <c r="I348" s="28"/>
      <c r="J348" s="27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36"/>
      <c r="B349" s="39"/>
      <c r="C349" s="39"/>
      <c r="D349" s="39"/>
      <c r="E349" s="43"/>
      <c r="F349" s="43"/>
      <c r="G349" s="46"/>
      <c r="H349" s="46"/>
      <c r="I349" s="46"/>
      <c r="J349" s="43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15"/>
      <c r="B350" s="20"/>
      <c r="C350" s="20"/>
      <c r="D350" s="20"/>
      <c r="E350" s="27"/>
      <c r="F350" s="27"/>
      <c r="G350" s="28"/>
      <c r="H350" s="28"/>
      <c r="I350" s="28"/>
      <c r="J350" s="27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36"/>
      <c r="B351" s="39"/>
      <c r="C351" s="39"/>
      <c r="D351" s="39"/>
      <c r="E351" s="43"/>
      <c r="F351" s="43"/>
      <c r="G351" s="46"/>
      <c r="H351" s="46"/>
      <c r="I351" s="46"/>
      <c r="J351" s="43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15"/>
      <c r="B352" s="20"/>
      <c r="C352" s="20"/>
      <c r="D352" s="20"/>
      <c r="E352" s="27"/>
      <c r="F352" s="27"/>
      <c r="G352" s="28"/>
      <c r="H352" s="28"/>
      <c r="I352" s="28"/>
      <c r="J352" s="27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36"/>
      <c r="B353" s="39"/>
      <c r="C353" s="39"/>
      <c r="D353" s="39"/>
      <c r="E353" s="43"/>
      <c r="F353" s="43"/>
      <c r="G353" s="46"/>
      <c r="H353" s="46"/>
      <c r="I353" s="46"/>
      <c r="J353" s="43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15"/>
      <c r="B354" s="20"/>
      <c r="C354" s="20"/>
      <c r="D354" s="20"/>
      <c r="E354" s="27"/>
      <c r="F354" s="27"/>
      <c r="G354" s="28"/>
      <c r="H354" s="28"/>
      <c r="I354" s="28"/>
      <c r="J354" s="27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36"/>
      <c r="B355" s="39"/>
      <c r="C355" s="39"/>
      <c r="D355" s="39"/>
      <c r="E355" s="43"/>
      <c r="F355" s="43"/>
      <c r="G355" s="46"/>
      <c r="H355" s="46"/>
      <c r="I355" s="46"/>
      <c r="J355" s="43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15"/>
      <c r="B356" s="20"/>
      <c r="C356" s="20"/>
      <c r="D356" s="20"/>
      <c r="E356" s="27"/>
      <c r="F356" s="27"/>
      <c r="G356" s="28"/>
      <c r="H356" s="28"/>
      <c r="I356" s="28"/>
      <c r="J356" s="27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36"/>
      <c r="B357" s="39"/>
      <c r="C357" s="39"/>
      <c r="D357" s="39"/>
      <c r="E357" s="43"/>
      <c r="F357" s="43"/>
      <c r="G357" s="46"/>
      <c r="H357" s="46"/>
      <c r="I357" s="46"/>
      <c r="J357" s="43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15"/>
      <c r="B358" s="20"/>
      <c r="C358" s="20"/>
      <c r="D358" s="20"/>
      <c r="E358" s="27"/>
      <c r="F358" s="27"/>
      <c r="G358" s="28"/>
      <c r="H358" s="28"/>
      <c r="I358" s="28"/>
      <c r="J358" s="27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36"/>
      <c r="B359" s="39"/>
      <c r="C359" s="39"/>
      <c r="D359" s="39"/>
      <c r="E359" s="43"/>
      <c r="F359" s="43"/>
      <c r="G359" s="46"/>
      <c r="H359" s="46"/>
      <c r="I359" s="46"/>
      <c r="J359" s="43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15"/>
      <c r="B360" s="20"/>
      <c r="C360" s="20"/>
      <c r="D360" s="20"/>
      <c r="E360" s="27"/>
      <c r="F360" s="27"/>
      <c r="G360" s="28"/>
      <c r="H360" s="28"/>
      <c r="I360" s="28"/>
      <c r="J360" s="27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36"/>
      <c r="B361" s="39"/>
      <c r="C361" s="39"/>
      <c r="D361" s="39"/>
      <c r="E361" s="43"/>
      <c r="F361" s="43"/>
      <c r="G361" s="46"/>
      <c r="H361" s="46"/>
      <c r="I361" s="46"/>
      <c r="J361" s="43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15"/>
      <c r="B362" s="20"/>
      <c r="C362" s="20"/>
      <c r="D362" s="20"/>
      <c r="E362" s="27"/>
      <c r="F362" s="27"/>
      <c r="G362" s="28"/>
      <c r="H362" s="28"/>
      <c r="I362" s="28"/>
      <c r="J362" s="27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36"/>
      <c r="B363" s="39"/>
      <c r="C363" s="39"/>
      <c r="D363" s="39"/>
      <c r="E363" s="43"/>
      <c r="F363" s="43"/>
      <c r="G363" s="46"/>
      <c r="H363" s="46"/>
      <c r="I363" s="46"/>
      <c r="J363" s="43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15"/>
      <c r="B364" s="20"/>
      <c r="C364" s="20"/>
      <c r="D364" s="20"/>
      <c r="E364" s="27"/>
      <c r="F364" s="27"/>
      <c r="G364" s="28"/>
      <c r="H364" s="28"/>
      <c r="I364" s="28"/>
      <c r="J364" s="27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36"/>
      <c r="B365" s="39"/>
      <c r="C365" s="39"/>
      <c r="D365" s="39"/>
      <c r="E365" s="43"/>
      <c r="F365" s="43"/>
      <c r="G365" s="46"/>
      <c r="H365" s="46"/>
      <c r="I365" s="46"/>
      <c r="J365" s="43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15"/>
      <c r="B366" s="20"/>
      <c r="C366" s="20"/>
      <c r="D366" s="20"/>
      <c r="E366" s="27"/>
      <c r="F366" s="27"/>
      <c r="G366" s="28"/>
      <c r="H366" s="28"/>
      <c r="I366" s="28"/>
      <c r="J366" s="27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36"/>
      <c r="B367" s="39"/>
      <c r="C367" s="39"/>
      <c r="D367" s="39"/>
      <c r="E367" s="43"/>
      <c r="F367" s="43"/>
      <c r="G367" s="46"/>
      <c r="H367" s="46"/>
      <c r="I367" s="46"/>
      <c r="J367" s="43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15"/>
      <c r="B368" s="20"/>
      <c r="C368" s="20"/>
      <c r="D368" s="20"/>
      <c r="E368" s="27"/>
      <c r="F368" s="27"/>
      <c r="G368" s="28"/>
      <c r="H368" s="28"/>
      <c r="I368" s="28"/>
      <c r="J368" s="27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36"/>
      <c r="B369" s="39"/>
      <c r="C369" s="39"/>
      <c r="D369" s="39"/>
      <c r="E369" s="43"/>
      <c r="F369" s="43"/>
      <c r="G369" s="46"/>
      <c r="H369" s="46"/>
      <c r="I369" s="46"/>
      <c r="J369" s="43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15"/>
      <c r="B370" s="20"/>
      <c r="C370" s="20"/>
      <c r="D370" s="20"/>
      <c r="E370" s="27"/>
      <c r="F370" s="27"/>
      <c r="G370" s="28"/>
      <c r="H370" s="28"/>
      <c r="I370" s="28"/>
      <c r="J370" s="27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36"/>
      <c r="B371" s="39"/>
      <c r="C371" s="39"/>
      <c r="D371" s="39"/>
      <c r="E371" s="43"/>
      <c r="F371" s="43"/>
      <c r="G371" s="46"/>
      <c r="H371" s="46"/>
      <c r="I371" s="46"/>
      <c r="J371" s="43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15"/>
      <c r="B372" s="20"/>
      <c r="C372" s="20"/>
      <c r="D372" s="20"/>
      <c r="E372" s="27"/>
      <c r="F372" s="27"/>
      <c r="G372" s="28"/>
      <c r="H372" s="28"/>
      <c r="I372" s="28"/>
      <c r="J372" s="27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36"/>
      <c r="B373" s="39"/>
      <c r="C373" s="39"/>
      <c r="D373" s="39"/>
      <c r="E373" s="43"/>
      <c r="F373" s="43"/>
      <c r="G373" s="46"/>
      <c r="H373" s="46"/>
      <c r="I373" s="46"/>
      <c r="J373" s="43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15"/>
      <c r="B374" s="20"/>
      <c r="C374" s="20"/>
      <c r="D374" s="20"/>
      <c r="E374" s="27"/>
      <c r="F374" s="27"/>
      <c r="G374" s="28"/>
      <c r="H374" s="28"/>
      <c r="I374" s="28"/>
      <c r="J374" s="27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36"/>
      <c r="B375" s="39"/>
      <c r="C375" s="39"/>
      <c r="D375" s="39"/>
      <c r="E375" s="43"/>
      <c r="F375" s="43"/>
      <c r="G375" s="46"/>
      <c r="H375" s="46"/>
      <c r="I375" s="46"/>
      <c r="J375" s="43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15"/>
      <c r="B376" s="20"/>
      <c r="C376" s="20"/>
      <c r="D376" s="20"/>
      <c r="E376" s="27"/>
      <c r="F376" s="27"/>
      <c r="G376" s="28"/>
      <c r="H376" s="28"/>
      <c r="I376" s="28"/>
      <c r="J376" s="27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36"/>
      <c r="B377" s="39"/>
      <c r="C377" s="39"/>
      <c r="D377" s="39"/>
      <c r="E377" s="43"/>
      <c r="F377" s="43"/>
      <c r="G377" s="46"/>
      <c r="H377" s="46"/>
      <c r="I377" s="46"/>
      <c r="J377" s="43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15"/>
      <c r="B378" s="20"/>
      <c r="C378" s="20"/>
      <c r="D378" s="20"/>
      <c r="E378" s="27"/>
      <c r="F378" s="27"/>
      <c r="G378" s="28"/>
      <c r="H378" s="28"/>
      <c r="I378" s="28"/>
      <c r="J378" s="27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36"/>
      <c r="B379" s="39"/>
      <c r="C379" s="39"/>
      <c r="D379" s="39"/>
      <c r="E379" s="43"/>
      <c r="F379" s="43"/>
      <c r="G379" s="46"/>
      <c r="H379" s="46"/>
      <c r="I379" s="46"/>
      <c r="J379" s="43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15"/>
      <c r="B380" s="20"/>
      <c r="C380" s="20"/>
      <c r="D380" s="20"/>
      <c r="E380" s="27"/>
      <c r="F380" s="27"/>
      <c r="G380" s="28"/>
      <c r="H380" s="28"/>
      <c r="I380" s="28"/>
      <c r="J380" s="27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36"/>
      <c r="B381" s="39"/>
      <c r="C381" s="39"/>
      <c r="D381" s="39"/>
      <c r="E381" s="43"/>
      <c r="F381" s="43"/>
      <c r="G381" s="46"/>
      <c r="H381" s="46"/>
      <c r="I381" s="46"/>
      <c r="J381" s="43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15"/>
      <c r="B382" s="20"/>
      <c r="C382" s="20"/>
      <c r="D382" s="20"/>
      <c r="E382" s="27"/>
      <c r="F382" s="27"/>
      <c r="G382" s="28"/>
      <c r="H382" s="28"/>
      <c r="I382" s="28"/>
      <c r="J382" s="27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36"/>
      <c r="B383" s="39"/>
      <c r="C383" s="39"/>
      <c r="D383" s="39"/>
      <c r="E383" s="43"/>
      <c r="F383" s="43"/>
      <c r="G383" s="46"/>
      <c r="H383" s="46"/>
      <c r="I383" s="46"/>
      <c r="J383" s="43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15"/>
      <c r="B384" s="20"/>
      <c r="C384" s="20"/>
      <c r="D384" s="20"/>
      <c r="E384" s="27"/>
      <c r="F384" s="27"/>
      <c r="G384" s="28"/>
      <c r="H384" s="28"/>
      <c r="I384" s="28"/>
      <c r="J384" s="27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36"/>
      <c r="B385" s="39"/>
      <c r="C385" s="39"/>
      <c r="D385" s="39"/>
      <c r="E385" s="43"/>
      <c r="F385" s="43"/>
      <c r="G385" s="46"/>
      <c r="H385" s="46"/>
      <c r="I385" s="46"/>
      <c r="J385" s="43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15"/>
      <c r="B386" s="20"/>
      <c r="C386" s="20"/>
      <c r="D386" s="20"/>
      <c r="E386" s="27"/>
      <c r="F386" s="27"/>
      <c r="G386" s="28"/>
      <c r="H386" s="28"/>
      <c r="I386" s="28"/>
      <c r="J386" s="27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36"/>
      <c r="B387" s="39"/>
      <c r="C387" s="39"/>
      <c r="D387" s="39"/>
      <c r="E387" s="43"/>
      <c r="F387" s="43"/>
      <c r="G387" s="46"/>
      <c r="H387" s="46"/>
      <c r="I387" s="46"/>
      <c r="J387" s="43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15"/>
      <c r="B388" s="20"/>
      <c r="C388" s="20"/>
      <c r="D388" s="20"/>
      <c r="E388" s="27"/>
      <c r="F388" s="27"/>
      <c r="G388" s="28"/>
      <c r="H388" s="28"/>
      <c r="I388" s="28"/>
      <c r="J388" s="27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36"/>
      <c r="B389" s="39"/>
      <c r="C389" s="39"/>
      <c r="D389" s="39"/>
      <c r="E389" s="43"/>
      <c r="F389" s="43"/>
      <c r="G389" s="46"/>
      <c r="H389" s="46"/>
      <c r="I389" s="46"/>
      <c r="J389" s="43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15"/>
      <c r="B390" s="20"/>
      <c r="C390" s="20"/>
      <c r="D390" s="20"/>
      <c r="E390" s="27"/>
      <c r="F390" s="27"/>
      <c r="G390" s="28"/>
      <c r="H390" s="28"/>
      <c r="I390" s="28"/>
      <c r="J390" s="27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36"/>
      <c r="B391" s="39"/>
      <c r="C391" s="39"/>
      <c r="D391" s="39"/>
      <c r="E391" s="43"/>
      <c r="F391" s="43"/>
      <c r="G391" s="46"/>
      <c r="H391" s="46"/>
      <c r="I391" s="46"/>
      <c r="J391" s="43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15"/>
      <c r="B392" s="20"/>
      <c r="C392" s="20"/>
      <c r="D392" s="20"/>
      <c r="E392" s="27"/>
      <c r="F392" s="27"/>
      <c r="G392" s="28"/>
      <c r="H392" s="28"/>
      <c r="I392" s="28"/>
      <c r="J392" s="27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36"/>
      <c r="B393" s="39"/>
      <c r="C393" s="39"/>
      <c r="D393" s="39"/>
      <c r="E393" s="43"/>
      <c r="F393" s="43"/>
      <c r="G393" s="46"/>
      <c r="H393" s="46"/>
      <c r="I393" s="46"/>
      <c r="J393" s="43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15"/>
      <c r="B394" s="20"/>
      <c r="C394" s="20"/>
      <c r="D394" s="20"/>
      <c r="E394" s="27"/>
      <c r="F394" s="27"/>
      <c r="G394" s="28"/>
      <c r="H394" s="28"/>
      <c r="I394" s="28"/>
      <c r="J394" s="27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36"/>
      <c r="B395" s="39"/>
      <c r="C395" s="39"/>
      <c r="D395" s="39"/>
      <c r="E395" s="43"/>
      <c r="F395" s="43"/>
      <c r="G395" s="46"/>
      <c r="H395" s="46"/>
      <c r="I395" s="46"/>
      <c r="J395" s="43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15"/>
      <c r="B396" s="20"/>
      <c r="C396" s="20"/>
      <c r="D396" s="20"/>
      <c r="E396" s="27"/>
      <c r="F396" s="27"/>
      <c r="G396" s="28"/>
      <c r="H396" s="28"/>
      <c r="I396" s="28"/>
      <c r="J396" s="27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36"/>
      <c r="B397" s="39"/>
      <c r="C397" s="39"/>
      <c r="D397" s="39"/>
      <c r="E397" s="43"/>
      <c r="F397" s="43"/>
      <c r="G397" s="46"/>
      <c r="H397" s="46"/>
      <c r="I397" s="46"/>
      <c r="J397" s="43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15"/>
      <c r="B398" s="20"/>
      <c r="C398" s="20"/>
      <c r="D398" s="20"/>
      <c r="E398" s="27"/>
      <c r="F398" s="27"/>
      <c r="G398" s="28"/>
      <c r="H398" s="28"/>
      <c r="I398" s="28"/>
      <c r="J398" s="27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36"/>
      <c r="B399" s="39"/>
      <c r="C399" s="39"/>
      <c r="D399" s="39"/>
      <c r="E399" s="43"/>
      <c r="F399" s="43"/>
      <c r="G399" s="46"/>
      <c r="H399" s="46"/>
      <c r="I399" s="46"/>
      <c r="J399" s="43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15"/>
      <c r="B400" s="20"/>
      <c r="C400" s="20"/>
      <c r="D400" s="20"/>
      <c r="E400" s="27"/>
      <c r="F400" s="27"/>
      <c r="G400" s="28"/>
      <c r="H400" s="28"/>
      <c r="I400" s="28"/>
      <c r="J400" s="27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36"/>
      <c r="B401" s="39"/>
      <c r="C401" s="39"/>
      <c r="D401" s="39"/>
      <c r="E401" s="43"/>
      <c r="F401" s="43"/>
      <c r="G401" s="46"/>
      <c r="H401" s="46"/>
      <c r="I401" s="46"/>
      <c r="J401" s="43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15"/>
      <c r="B402" s="20"/>
      <c r="C402" s="20"/>
      <c r="D402" s="20"/>
      <c r="E402" s="27"/>
      <c r="F402" s="27"/>
      <c r="G402" s="28"/>
      <c r="H402" s="28"/>
      <c r="I402" s="28"/>
      <c r="J402" s="27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36"/>
      <c r="B403" s="39"/>
      <c r="C403" s="39"/>
      <c r="D403" s="39"/>
      <c r="E403" s="43"/>
      <c r="F403" s="43"/>
      <c r="G403" s="46"/>
      <c r="H403" s="46"/>
      <c r="I403" s="46"/>
      <c r="J403" s="43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15"/>
      <c r="B404" s="20"/>
      <c r="C404" s="20"/>
      <c r="D404" s="20"/>
      <c r="E404" s="27"/>
      <c r="F404" s="27"/>
      <c r="G404" s="28"/>
      <c r="H404" s="28"/>
      <c r="I404" s="28"/>
      <c r="J404" s="27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36"/>
      <c r="B405" s="39"/>
      <c r="C405" s="39"/>
      <c r="D405" s="39"/>
      <c r="E405" s="43"/>
      <c r="F405" s="43"/>
      <c r="G405" s="46"/>
      <c r="H405" s="46"/>
      <c r="I405" s="46"/>
      <c r="J405" s="43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15"/>
      <c r="B406" s="20"/>
      <c r="C406" s="20"/>
      <c r="D406" s="20"/>
      <c r="E406" s="27"/>
      <c r="F406" s="27"/>
      <c r="G406" s="28"/>
      <c r="H406" s="28"/>
      <c r="I406" s="28"/>
      <c r="J406" s="27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36"/>
      <c r="B407" s="39"/>
      <c r="C407" s="39"/>
      <c r="D407" s="39"/>
      <c r="E407" s="43"/>
      <c r="F407" s="43"/>
      <c r="G407" s="46"/>
      <c r="H407" s="46"/>
      <c r="I407" s="46"/>
      <c r="J407" s="43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15"/>
      <c r="B408" s="20"/>
      <c r="C408" s="20"/>
      <c r="D408" s="20"/>
      <c r="E408" s="27"/>
      <c r="F408" s="27"/>
      <c r="G408" s="28"/>
      <c r="H408" s="28"/>
      <c r="I408" s="28"/>
      <c r="J408" s="27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36"/>
      <c r="B409" s="39"/>
      <c r="C409" s="39"/>
      <c r="D409" s="39"/>
      <c r="E409" s="43"/>
      <c r="F409" s="43"/>
      <c r="G409" s="46"/>
      <c r="H409" s="46"/>
      <c r="I409" s="46"/>
      <c r="J409" s="43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15"/>
      <c r="B410" s="20"/>
      <c r="C410" s="20"/>
      <c r="D410" s="20"/>
      <c r="E410" s="27"/>
      <c r="F410" s="27"/>
      <c r="G410" s="28"/>
      <c r="H410" s="28"/>
      <c r="I410" s="28"/>
      <c r="J410" s="27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36"/>
      <c r="B411" s="39"/>
      <c r="C411" s="39"/>
      <c r="D411" s="39"/>
      <c r="E411" s="43"/>
      <c r="F411" s="43"/>
      <c r="G411" s="46"/>
      <c r="H411" s="46"/>
      <c r="I411" s="46"/>
      <c r="J411" s="43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15"/>
      <c r="B412" s="20"/>
      <c r="C412" s="20"/>
      <c r="D412" s="20"/>
      <c r="E412" s="27"/>
      <c r="F412" s="27"/>
      <c r="G412" s="28"/>
      <c r="H412" s="28"/>
      <c r="I412" s="28"/>
      <c r="J412" s="27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36"/>
      <c r="B413" s="39"/>
      <c r="C413" s="39"/>
      <c r="D413" s="39"/>
      <c r="E413" s="43"/>
      <c r="F413" s="43"/>
      <c r="G413" s="46"/>
      <c r="H413" s="46"/>
      <c r="I413" s="46"/>
      <c r="J413" s="43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15"/>
      <c r="B414" s="20"/>
      <c r="C414" s="20"/>
      <c r="D414" s="20"/>
      <c r="E414" s="27"/>
      <c r="F414" s="27"/>
      <c r="G414" s="28"/>
      <c r="H414" s="28"/>
      <c r="I414" s="28"/>
      <c r="J414" s="27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36"/>
      <c r="B415" s="39"/>
      <c r="C415" s="39"/>
      <c r="D415" s="39"/>
      <c r="E415" s="43"/>
      <c r="F415" s="43"/>
      <c r="G415" s="46"/>
      <c r="H415" s="46"/>
      <c r="I415" s="46"/>
      <c r="J415" s="43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15"/>
      <c r="B416" s="20"/>
      <c r="C416" s="20"/>
      <c r="D416" s="20"/>
      <c r="E416" s="27"/>
      <c r="F416" s="27"/>
      <c r="G416" s="28"/>
      <c r="H416" s="28"/>
      <c r="I416" s="28"/>
      <c r="J416" s="27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36"/>
      <c r="B417" s="39"/>
      <c r="C417" s="39"/>
      <c r="D417" s="39"/>
      <c r="E417" s="43"/>
      <c r="F417" s="43"/>
      <c r="G417" s="46"/>
      <c r="H417" s="46"/>
      <c r="I417" s="46"/>
      <c r="J417" s="43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15"/>
      <c r="B418" s="20"/>
      <c r="C418" s="20"/>
      <c r="D418" s="20"/>
      <c r="E418" s="27"/>
      <c r="F418" s="27"/>
      <c r="G418" s="28"/>
      <c r="H418" s="28"/>
      <c r="I418" s="28"/>
      <c r="J418" s="27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36"/>
      <c r="B419" s="39"/>
      <c r="C419" s="39"/>
      <c r="D419" s="39"/>
      <c r="E419" s="43"/>
      <c r="F419" s="43"/>
      <c r="G419" s="46"/>
      <c r="H419" s="46"/>
      <c r="I419" s="46"/>
      <c r="J419" s="43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15"/>
      <c r="B420" s="20"/>
      <c r="C420" s="20"/>
      <c r="D420" s="20"/>
      <c r="E420" s="27"/>
      <c r="F420" s="27"/>
      <c r="G420" s="28"/>
      <c r="H420" s="28"/>
      <c r="I420" s="28"/>
      <c r="J420" s="27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36"/>
      <c r="B421" s="39"/>
      <c r="C421" s="39"/>
      <c r="D421" s="39"/>
      <c r="E421" s="43"/>
      <c r="F421" s="43"/>
      <c r="G421" s="46"/>
      <c r="H421" s="46"/>
      <c r="I421" s="46"/>
      <c r="J421" s="43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15"/>
      <c r="B422" s="20"/>
      <c r="C422" s="20"/>
      <c r="D422" s="20"/>
      <c r="E422" s="27"/>
      <c r="F422" s="27"/>
      <c r="G422" s="28"/>
      <c r="H422" s="28"/>
      <c r="I422" s="28"/>
      <c r="J422" s="27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36"/>
      <c r="B423" s="39"/>
      <c r="C423" s="39"/>
      <c r="D423" s="39"/>
      <c r="E423" s="43"/>
      <c r="F423" s="43"/>
      <c r="G423" s="46"/>
      <c r="H423" s="46"/>
      <c r="I423" s="46"/>
      <c r="J423" s="43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15"/>
      <c r="B424" s="20"/>
      <c r="C424" s="20"/>
      <c r="D424" s="20"/>
      <c r="E424" s="27"/>
      <c r="F424" s="27"/>
      <c r="G424" s="28"/>
      <c r="H424" s="28"/>
      <c r="I424" s="28"/>
      <c r="J424" s="27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36"/>
      <c r="B425" s="39"/>
      <c r="C425" s="39"/>
      <c r="D425" s="39"/>
      <c r="E425" s="43"/>
      <c r="F425" s="43"/>
      <c r="G425" s="46"/>
      <c r="H425" s="46"/>
      <c r="I425" s="46"/>
      <c r="J425" s="43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15"/>
      <c r="B426" s="20"/>
      <c r="C426" s="20"/>
      <c r="D426" s="20"/>
      <c r="E426" s="27"/>
      <c r="F426" s="27"/>
      <c r="G426" s="28"/>
      <c r="H426" s="28"/>
      <c r="I426" s="28"/>
      <c r="J426" s="27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36"/>
      <c r="B427" s="39"/>
      <c r="C427" s="39"/>
      <c r="D427" s="39"/>
      <c r="E427" s="43"/>
      <c r="F427" s="43"/>
      <c r="G427" s="46"/>
      <c r="H427" s="46"/>
      <c r="I427" s="46"/>
      <c r="J427" s="43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15"/>
      <c r="B428" s="20"/>
      <c r="C428" s="20"/>
      <c r="D428" s="20"/>
      <c r="E428" s="27"/>
      <c r="F428" s="27"/>
      <c r="G428" s="28"/>
      <c r="H428" s="28"/>
      <c r="I428" s="28"/>
      <c r="J428" s="27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36"/>
      <c r="B429" s="39"/>
      <c r="C429" s="39"/>
      <c r="D429" s="39"/>
      <c r="E429" s="43"/>
      <c r="F429" s="43"/>
      <c r="G429" s="46"/>
      <c r="H429" s="46"/>
      <c r="I429" s="46"/>
      <c r="J429" s="43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15"/>
      <c r="B430" s="20"/>
      <c r="C430" s="20"/>
      <c r="D430" s="20"/>
      <c r="E430" s="27"/>
      <c r="F430" s="27"/>
      <c r="G430" s="28"/>
      <c r="H430" s="28"/>
      <c r="I430" s="28"/>
      <c r="J430" s="27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36"/>
      <c r="B431" s="39"/>
      <c r="C431" s="39"/>
      <c r="D431" s="39"/>
      <c r="E431" s="43"/>
      <c r="F431" s="43"/>
      <c r="G431" s="46"/>
      <c r="H431" s="46"/>
      <c r="I431" s="46"/>
      <c r="J431" s="43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15"/>
      <c r="B432" s="20"/>
      <c r="C432" s="20"/>
      <c r="D432" s="20"/>
      <c r="E432" s="27"/>
      <c r="F432" s="27"/>
      <c r="G432" s="28"/>
      <c r="H432" s="28"/>
      <c r="I432" s="28"/>
      <c r="J432" s="27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36"/>
      <c r="B433" s="39"/>
      <c r="C433" s="39"/>
      <c r="D433" s="39"/>
      <c r="E433" s="43"/>
      <c r="F433" s="43"/>
      <c r="G433" s="46"/>
      <c r="H433" s="46"/>
      <c r="I433" s="46"/>
      <c r="J433" s="43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15"/>
      <c r="B434" s="20"/>
      <c r="C434" s="20"/>
      <c r="D434" s="20"/>
      <c r="E434" s="27"/>
      <c r="F434" s="27"/>
      <c r="G434" s="28"/>
      <c r="H434" s="28"/>
      <c r="I434" s="28"/>
      <c r="J434" s="27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36"/>
      <c r="B435" s="39"/>
      <c r="C435" s="39"/>
      <c r="D435" s="39"/>
      <c r="E435" s="43"/>
      <c r="F435" s="43"/>
      <c r="G435" s="46"/>
      <c r="H435" s="46"/>
      <c r="I435" s="46"/>
      <c r="J435" s="43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15"/>
      <c r="B436" s="20"/>
      <c r="C436" s="20"/>
      <c r="D436" s="20"/>
      <c r="E436" s="27"/>
      <c r="F436" s="27"/>
      <c r="G436" s="28"/>
      <c r="H436" s="28"/>
      <c r="I436" s="28"/>
      <c r="J436" s="27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36"/>
      <c r="B437" s="39"/>
      <c r="C437" s="39"/>
      <c r="D437" s="39"/>
      <c r="E437" s="43"/>
      <c r="F437" s="43"/>
      <c r="G437" s="46"/>
      <c r="H437" s="46"/>
      <c r="I437" s="46"/>
      <c r="J437" s="43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15"/>
      <c r="B438" s="20"/>
      <c r="C438" s="20"/>
      <c r="D438" s="20"/>
      <c r="E438" s="27"/>
      <c r="F438" s="27"/>
      <c r="G438" s="28"/>
      <c r="H438" s="28"/>
      <c r="I438" s="28"/>
      <c r="J438" s="27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36"/>
      <c r="B439" s="39"/>
      <c r="C439" s="39"/>
      <c r="D439" s="39"/>
      <c r="E439" s="43"/>
      <c r="F439" s="43"/>
      <c r="G439" s="46"/>
      <c r="H439" s="46"/>
      <c r="I439" s="46"/>
      <c r="J439" s="43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15"/>
      <c r="B440" s="20"/>
      <c r="C440" s="20"/>
      <c r="D440" s="20"/>
      <c r="E440" s="27"/>
      <c r="F440" s="27"/>
      <c r="G440" s="28"/>
      <c r="H440" s="28"/>
      <c r="I440" s="28"/>
      <c r="J440" s="27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36"/>
      <c r="B441" s="39"/>
      <c r="C441" s="39"/>
      <c r="D441" s="39"/>
      <c r="E441" s="43"/>
      <c r="F441" s="43"/>
      <c r="G441" s="46"/>
      <c r="H441" s="46"/>
      <c r="I441" s="46"/>
      <c r="J441" s="43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15"/>
      <c r="B442" s="20"/>
      <c r="C442" s="20"/>
      <c r="D442" s="20"/>
      <c r="E442" s="27"/>
      <c r="F442" s="27"/>
      <c r="G442" s="28"/>
      <c r="H442" s="28"/>
      <c r="I442" s="28"/>
      <c r="J442" s="27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36"/>
      <c r="B443" s="39"/>
      <c r="C443" s="39"/>
      <c r="D443" s="39"/>
      <c r="E443" s="43"/>
      <c r="F443" s="43"/>
      <c r="G443" s="46"/>
      <c r="H443" s="46"/>
      <c r="I443" s="46"/>
      <c r="J443" s="43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15"/>
      <c r="B444" s="20"/>
      <c r="C444" s="20"/>
      <c r="D444" s="20"/>
      <c r="E444" s="27"/>
      <c r="F444" s="27"/>
      <c r="G444" s="28"/>
      <c r="H444" s="28"/>
      <c r="I444" s="28"/>
      <c r="J444" s="27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36"/>
      <c r="B445" s="39"/>
      <c r="C445" s="39"/>
      <c r="D445" s="39"/>
      <c r="E445" s="43"/>
      <c r="F445" s="43"/>
      <c r="G445" s="46"/>
      <c r="H445" s="46"/>
      <c r="I445" s="46"/>
      <c r="J445" s="43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15"/>
      <c r="B446" s="20"/>
      <c r="C446" s="20"/>
      <c r="D446" s="20"/>
      <c r="E446" s="27"/>
      <c r="F446" s="27"/>
      <c r="G446" s="28"/>
      <c r="H446" s="28"/>
      <c r="I446" s="28"/>
      <c r="J446" s="27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36"/>
      <c r="B447" s="39"/>
      <c r="C447" s="39"/>
      <c r="D447" s="39"/>
      <c r="E447" s="43"/>
      <c r="F447" s="43"/>
      <c r="G447" s="46"/>
      <c r="H447" s="46"/>
      <c r="I447" s="46"/>
      <c r="J447" s="43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15"/>
      <c r="B448" s="20"/>
      <c r="C448" s="20"/>
      <c r="D448" s="20"/>
      <c r="E448" s="27"/>
      <c r="F448" s="27"/>
      <c r="G448" s="28"/>
      <c r="H448" s="28"/>
      <c r="I448" s="28"/>
      <c r="J448" s="27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36"/>
      <c r="B449" s="39"/>
      <c r="C449" s="39"/>
      <c r="D449" s="39"/>
      <c r="E449" s="43"/>
      <c r="F449" s="43"/>
      <c r="G449" s="46"/>
      <c r="H449" s="46"/>
      <c r="I449" s="46"/>
      <c r="J449" s="43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15"/>
      <c r="B450" s="20"/>
      <c r="C450" s="20"/>
      <c r="D450" s="20"/>
      <c r="E450" s="27"/>
      <c r="F450" s="27"/>
      <c r="G450" s="28"/>
      <c r="H450" s="28"/>
      <c r="I450" s="28"/>
      <c r="J450" s="27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36"/>
      <c r="B451" s="39"/>
      <c r="C451" s="39"/>
      <c r="D451" s="39"/>
      <c r="E451" s="43"/>
      <c r="F451" s="43"/>
      <c r="G451" s="46"/>
      <c r="H451" s="46"/>
      <c r="I451" s="46"/>
      <c r="J451" s="43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15"/>
      <c r="B452" s="20"/>
      <c r="C452" s="20"/>
      <c r="D452" s="20"/>
      <c r="E452" s="27"/>
      <c r="F452" s="27"/>
      <c r="G452" s="28"/>
      <c r="H452" s="28"/>
      <c r="I452" s="28"/>
      <c r="J452" s="27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36"/>
      <c r="B453" s="39"/>
      <c r="C453" s="39"/>
      <c r="D453" s="39"/>
      <c r="E453" s="43"/>
      <c r="F453" s="43"/>
      <c r="G453" s="46"/>
      <c r="H453" s="46"/>
      <c r="I453" s="46"/>
      <c r="J453" s="4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15"/>
      <c r="B454" s="20"/>
      <c r="C454" s="20"/>
      <c r="D454" s="20"/>
      <c r="E454" s="27"/>
      <c r="F454" s="27"/>
      <c r="G454" s="28"/>
      <c r="H454" s="28"/>
      <c r="I454" s="28"/>
      <c r="J454" s="27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36"/>
      <c r="B455" s="39"/>
      <c r="C455" s="39"/>
      <c r="D455" s="39"/>
      <c r="E455" s="43"/>
      <c r="F455" s="43"/>
      <c r="G455" s="46"/>
      <c r="H455" s="46"/>
      <c r="I455" s="46"/>
      <c r="J455" s="43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15"/>
      <c r="B456" s="20"/>
      <c r="C456" s="20"/>
      <c r="D456" s="20"/>
      <c r="E456" s="27"/>
      <c r="F456" s="27"/>
      <c r="G456" s="28"/>
      <c r="H456" s="28"/>
      <c r="I456" s="28"/>
      <c r="J456" s="27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36"/>
      <c r="B457" s="39"/>
      <c r="C457" s="39"/>
      <c r="D457" s="39"/>
      <c r="E457" s="43"/>
      <c r="F457" s="43"/>
      <c r="G457" s="46"/>
      <c r="H457" s="46"/>
      <c r="I457" s="46"/>
      <c r="J457" s="43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15"/>
      <c r="B458" s="20"/>
      <c r="C458" s="20"/>
      <c r="D458" s="20"/>
      <c r="E458" s="27"/>
      <c r="F458" s="27"/>
      <c r="G458" s="28"/>
      <c r="H458" s="28"/>
      <c r="I458" s="28"/>
      <c r="J458" s="27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36"/>
      <c r="B459" s="39"/>
      <c r="C459" s="39"/>
      <c r="D459" s="39"/>
      <c r="E459" s="43"/>
      <c r="F459" s="43"/>
      <c r="G459" s="46"/>
      <c r="H459" s="46"/>
      <c r="I459" s="46"/>
      <c r="J459" s="43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15"/>
      <c r="B460" s="20"/>
      <c r="C460" s="20"/>
      <c r="D460" s="20"/>
      <c r="E460" s="27"/>
      <c r="F460" s="27"/>
      <c r="G460" s="28"/>
      <c r="H460" s="28"/>
      <c r="I460" s="28"/>
      <c r="J460" s="27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36"/>
      <c r="B461" s="39"/>
      <c r="C461" s="39"/>
      <c r="D461" s="39"/>
      <c r="E461" s="43"/>
      <c r="F461" s="43"/>
      <c r="G461" s="46"/>
      <c r="H461" s="46"/>
      <c r="I461" s="46"/>
      <c r="J461" s="43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15"/>
      <c r="B462" s="20"/>
      <c r="C462" s="20"/>
      <c r="D462" s="20"/>
      <c r="E462" s="27"/>
      <c r="F462" s="27"/>
      <c r="G462" s="28"/>
      <c r="H462" s="28"/>
      <c r="I462" s="28"/>
      <c r="J462" s="27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36"/>
      <c r="B463" s="39"/>
      <c r="C463" s="39"/>
      <c r="D463" s="39"/>
      <c r="E463" s="43"/>
      <c r="F463" s="43"/>
      <c r="G463" s="46"/>
      <c r="H463" s="46"/>
      <c r="I463" s="46"/>
      <c r="J463" s="43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15"/>
      <c r="B464" s="20"/>
      <c r="C464" s="20"/>
      <c r="D464" s="20"/>
      <c r="E464" s="27"/>
      <c r="F464" s="27"/>
      <c r="G464" s="28"/>
      <c r="H464" s="28"/>
      <c r="I464" s="28"/>
      <c r="J464" s="27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36"/>
      <c r="B465" s="39"/>
      <c r="C465" s="39"/>
      <c r="D465" s="39"/>
      <c r="E465" s="43"/>
      <c r="F465" s="43"/>
      <c r="G465" s="46"/>
      <c r="H465" s="46"/>
      <c r="I465" s="46"/>
      <c r="J465" s="43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15"/>
      <c r="B466" s="20"/>
      <c r="C466" s="20"/>
      <c r="D466" s="20"/>
      <c r="E466" s="27"/>
      <c r="F466" s="27"/>
      <c r="G466" s="28"/>
      <c r="H466" s="28"/>
      <c r="I466" s="28"/>
      <c r="J466" s="27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36"/>
      <c r="B467" s="39"/>
      <c r="C467" s="39"/>
      <c r="D467" s="39"/>
      <c r="E467" s="43"/>
      <c r="F467" s="43"/>
      <c r="G467" s="46"/>
      <c r="H467" s="46"/>
      <c r="I467" s="46"/>
      <c r="J467" s="43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15"/>
      <c r="B468" s="20"/>
      <c r="C468" s="20"/>
      <c r="D468" s="20"/>
      <c r="E468" s="27"/>
      <c r="F468" s="27"/>
      <c r="G468" s="28"/>
      <c r="H468" s="28"/>
      <c r="I468" s="28"/>
      <c r="J468" s="27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36"/>
      <c r="B469" s="39"/>
      <c r="C469" s="39"/>
      <c r="D469" s="39"/>
      <c r="E469" s="43"/>
      <c r="F469" s="43"/>
      <c r="G469" s="46"/>
      <c r="H469" s="46"/>
      <c r="I469" s="46"/>
      <c r="J469" s="43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15"/>
      <c r="B470" s="20"/>
      <c r="C470" s="20"/>
      <c r="D470" s="20"/>
      <c r="E470" s="27"/>
      <c r="F470" s="27"/>
      <c r="G470" s="28"/>
      <c r="H470" s="28"/>
      <c r="I470" s="28"/>
      <c r="J470" s="27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36"/>
      <c r="B471" s="39"/>
      <c r="C471" s="39"/>
      <c r="D471" s="39"/>
      <c r="E471" s="43"/>
      <c r="F471" s="43"/>
      <c r="G471" s="46"/>
      <c r="H471" s="46"/>
      <c r="I471" s="46"/>
      <c r="J471" s="43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15"/>
      <c r="B472" s="20"/>
      <c r="C472" s="20"/>
      <c r="D472" s="20"/>
      <c r="E472" s="27"/>
      <c r="F472" s="27"/>
      <c r="G472" s="28"/>
      <c r="H472" s="28"/>
      <c r="I472" s="28"/>
      <c r="J472" s="27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36"/>
      <c r="B473" s="39"/>
      <c r="C473" s="39"/>
      <c r="D473" s="39"/>
      <c r="E473" s="43"/>
      <c r="F473" s="43"/>
      <c r="G473" s="46"/>
      <c r="H473" s="46"/>
      <c r="I473" s="46"/>
      <c r="J473" s="43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15"/>
      <c r="B474" s="20"/>
      <c r="C474" s="20"/>
      <c r="D474" s="20"/>
      <c r="E474" s="27"/>
      <c r="F474" s="27"/>
      <c r="G474" s="28"/>
      <c r="H474" s="28"/>
      <c r="I474" s="28"/>
      <c r="J474" s="27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36"/>
      <c r="B475" s="39"/>
      <c r="C475" s="39"/>
      <c r="D475" s="39"/>
      <c r="E475" s="43"/>
      <c r="F475" s="43"/>
      <c r="G475" s="46"/>
      <c r="H475" s="46"/>
      <c r="I475" s="46"/>
      <c r="J475" s="43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15"/>
      <c r="B476" s="20"/>
      <c r="C476" s="20"/>
      <c r="D476" s="20"/>
      <c r="E476" s="27"/>
      <c r="F476" s="27"/>
      <c r="G476" s="28"/>
      <c r="H476" s="28"/>
      <c r="I476" s="28"/>
      <c r="J476" s="27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36"/>
      <c r="B477" s="39"/>
      <c r="C477" s="39"/>
      <c r="D477" s="39"/>
      <c r="E477" s="43"/>
      <c r="F477" s="43"/>
      <c r="G477" s="46"/>
      <c r="H477" s="46"/>
      <c r="I477" s="46"/>
      <c r="J477" s="43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15"/>
      <c r="B478" s="20"/>
      <c r="C478" s="20"/>
      <c r="D478" s="20"/>
      <c r="E478" s="27"/>
      <c r="F478" s="27"/>
      <c r="G478" s="28"/>
      <c r="H478" s="28"/>
      <c r="I478" s="28"/>
      <c r="J478" s="27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36"/>
      <c r="B479" s="39"/>
      <c r="C479" s="39"/>
      <c r="D479" s="39"/>
      <c r="E479" s="43"/>
      <c r="F479" s="43"/>
      <c r="G479" s="46"/>
      <c r="H479" s="46"/>
      <c r="I479" s="46"/>
      <c r="J479" s="43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15"/>
      <c r="B480" s="20"/>
      <c r="C480" s="20"/>
      <c r="D480" s="20"/>
      <c r="E480" s="27"/>
      <c r="F480" s="27"/>
      <c r="G480" s="28"/>
      <c r="H480" s="28"/>
      <c r="I480" s="28"/>
      <c r="J480" s="27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36"/>
      <c r="B481" s="39"/>
      <c r="C481" s="39"/>
      <c r="D481" s="39"/>
      <c r="E481" s="43"/>
      <c r="F481" s="43"/>
      <c r="G481" s="46"/>
      <c r="H481" s="46"/>
      <c r="I481" s="46"/>
      <c r="J481" s="43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15"/>
      <c r="B482" s="20"/>
      <c r="C482" s="20"/>
      <c r="D482" s="20"/>
      <c r="E482" s="27"/>
      <c r="F482" s="27"/>
      <c r="G482" s="28"/>
      <c r="H482" s="28"/>
      <c r="I482" s="28"/>
      <c r="J482" s="27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36"/>
      <c r="B483" s="39"/>
      <c r="C483" s="39"/>
      <c r="D483" s="39"/>
      <c r="E483" s="43"/>
      <c r="F483" s="43"/>
      <c r="G483" s="46"/>
      <c r="H483" s="46"/>
      <c r="I483" s="46"/>
      <c r="J483" s="43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15"/>
      <c r="B484" s="20"/>
      <c r="C484" s="20"/>
      <c r="D484" s="20"/>
      <c r="E484" s="27"/>
      <c r="F484" s="27"/>
      <c r="G484" s="28"/>
      <c r="H484" s="28"/>
      <c r="I484" s="28"/>
      <c r="J484" s="27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36"/>
      <c r="B485" s="39"/>
      <c r="C485" s="39"/>
      <c r="D485" s="39"/>
      <c r="E485" s="43"/>
      <c r="F485" s="43"/>
      <c r="G485" s="46"/>
      <c r="H485" s="46"/>
      <c r="I485" s="46"/>
      <c r="J485" s="43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15"/>
      <c r="B486" s="20"/>
      <c r="C486" s="20"/>
      <c r="D486" s="20"/>
      <c r="E486" s="27"/>
      <c r="F486" s="27"/>
      <c r="G486" s="28"/>
      <c r="H486" s="28"/>
      <c r="I486" s="28"/>
      <c r="J486" s="27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36"/>
      <c r="B487" s="39"/>
      <c r="C487" s="39"/>
      <c r="D487" s="39"/>
      <c r="E487" s="43"/>
      <c r="F487" s="43"/>
      <c r="G487" s="46"/>
      <c r="H487" s="46"/>
      <c r="I487" s="46"/>
      <c r="J487" s="43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15"/>
      <c r="B488" s="20"/>
      <c r="C488" s="20"/>
      <c r="D488" s="20"/>
      <c r="E488" s="27"/>
      <c r="F488" s="27"/>
      <c r="G488" s="28"/>
      <c r="H488" s="28"/>
      <c r="I488" s="28"/>
      <c r="J488" s="27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36"/>
      <c r="B489" s="39"/>
      <c r="C489" s="39"/>
      <c r="D489" s="39"/>
      <c r="E489" s="43"/>
      <c r="F489" s="43"/>
      <c r="G489" s="46"/>
      <c r="H489" s="46"/>
      <c r="I489" s="46"/>
      <c r="J489" s="43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15"/>
      <c r="B490" s="20"/>
      <c r="C490" s="20"/>
      <c r="D490" s="20"/>
      <c r="E490" s="27"/>
      <c r="F490" s="27"/>
      <c r="G490" s="28"/>
      <c r="H490" s="28"/>
      <c r="I490" s="28"/>
      <c r="J490" s="27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36"/>
      <c r="B491" s="39"/>
      <c r="C491" s="39"/>
      <c r="D491" s="39"/>
      <c r="E491" s="43"/>
      <c r="F491" s="43"/>
      <c r="G491" s="46"/>
      <c r="H491" s="46"/>
      <c r="I491" s="46"/>
      <c r="J491" s="43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15"/>
      <c r="B492" s="20"/>
      <c r="C492" s="20"/>
      <c r="D492" s="20"/>
      <c r="E492" s="27"/>
      <c r="F492" s="27"/>
      <c r="G492" s="28"/>
      <c r="H492" s="28"/>
      <c r="I492" s="28"/>
      <c r="J492" s="27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36"/>
      <c r="B493" s="39"/>
      <c r="C493" s="39"/>
      <c r="D493" s="39"/>
      <c r="E493" s="43"/>
      <c r="F493" s="43"/>
      <c r="G493" s="46"/>
      <c r="H493" s="46"/>
      <c r="I493" s="46"/>
      <c r="J493" s="43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15"/>
      <c r="B494" s="20"/>
      <c r="C494" s="20"/>
      <c r="D494" s="20"/>
      <c r="E494" s="27"/>
      <c r="F494" s="27"/>
      <c r="G494" s="28"/>
      <c r="H494" s="28"/>
      <c r="I494" s="28"/>
      <c r="J494" s="27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36"/>
      <c r="B495" s="39"/>
      <c r="C495" s="39"/>
      <c r="D495" s="39"/>
      <c r="E495" s="43"/>
      <c r="F495" s="43"/>
      <c r="G495" s="46"/>
      <c r="H495" s="46"/>
      <c r="I495" s="46"/>
      <c r="J495" s="43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15"/>
      <c r="B496" s="20"/>
      <c r="C496" s="20"/>
      <c r="D496" s="20"/>
      <c r="E496" s="27"/>
      <c r="F496" s="27"/>
      <c r="G496" s="28"/>
      <c r="H496" s="28"/>
      <c r="I496" s="28"/>
      <c r="J496" s="27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36"/>
      <c r="B497" s="39"/>
      <c r="C497" s="39"/>
      <c r="D497" s="39"/>
      <c r="E497" s="43"/>
      <c r="F497" s="43"/>
      <c r="G497" s="46"/>
      <c r="H497" s="46"/>
      <c r="I497" s="46"/>
      <c r="J497" s="43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15"/>
      <c r="B498" s="20"/>
      <c r="C498" s="20"/>
      <c r="D498" s="20"/>
      <c r="E498" s="27"/>
      <c r="F498" s="27"/>
      <c r="G498" s="28"/>
      <c r="H498" s="28"/>
      <c r="I498" s="28"/>
      <c r="J498" s="27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36"/>
      <c r="B499" s="39"/>
      <c r="C499" s="39"/>
      <c r="D499" s="39"/>
      <c r="E499" s="43"/>
      <c r="F499" s="43"/>
      <c r="G499" s="46"/>
      <c r="H499" s="46"/>
      <c r="I499" s="46"/>
      <c r="J499" s="43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15"/>
      <c r="B500" s="20"/>
      <c r="C500" s="20"/>
      <c r="D500" s="20"/>
      <c r="E500" s="27"/>
      <c r="F500" s="27"/>
      <c r="G500" s="28"/>
      <c r="H500" s="28"/>
      <c r="I500" s="28"/>
      <c r="J500" s="27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36"/>
      <c r="B501" s="39"/>
      <c r="C501" s="39"/>
      <c r="D501" s="39"/>
      <c r="E501" s="43"/>
      <c r="F501" s="43"/>
      <c r="G501" s="46"/>
      <c r="H501" s="46"/>
      <c r="I501" s="46"/>
      <c r="J501" s="43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15"/>
      <c r="B502" s="20"/>
      <c r="C502" s="20"/>
      <c r="D502" s="20"/>
      <c r="E502" s="27"/>
      <c r="F502" s="27"/>
      <c r="G502" s="28"/>
      <c r="H502" s="28"/>
      <c r="I502" s="28"/>
      <c r="J502" s="27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36"/>
      <c r="B503" s="39"/>
      <c r="C503" s="39"/>
      <c r="D503" s="39"/>
      <c r="E503" s="43"/>
      <c r="F503" s="43"/>
      <c r="G503" s="46"/>
      <c r="H503" s="46"/>
      <c r="I503" s="46"/>
      <c r="J503" s="43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15"/>
      <c r="B504" s="20"/>
      <c r="C504" s="20"/>
      <c r="D504" s="20"/>
      <c r="E504" s="27"/>
      <c r="F504" s="27"/>
      <c r="G504" s="28"/>
      <c r="H504" s="28"/>
      <c r="I504" s="28"/>
      <c r="J504" s="27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36"/>
      <c r="B505" s="39"/>
      <c r="C505" s="39"/>
      <c r="D505" s="39"/>
      <c r="E505" s="43"/>
      <c r="F505" s="43"/>
      <c r="G505" s="46"/>
      <c r="H505" s="46"/>
      <c r="I505" s="46"/>
      <c r="J505" s="43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15"/>
      <c r="B506" s="20"/>
      <c r="C506" s="20"/>
      <c r="D506" s="20"/>
      <c r="E506" s="27"/>
      <c r="F506" s="27"/>
      <c r="G506" s="28"/>
      <c r="H506" s="28"/>
      <c r="I506" s="28"/>
      <c r="J506" s="27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36"/>
      <c r="B507" s="39"/>
      <c r="C507" s="39"/>
      <c r="D507" s="39"/>
      <c r="E507" s="43"/>
      <c r="F507" s="43"/>
      <c r="G507" s="46"/>
      <c r="H507" s="46"/>
      <c r="I507" s="46"/>
      <c r="J507" s="43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15"/>
      <c r="B508" s="20"/>
      <c r="C508" s="20"/>
      <c r="D508" s="20"/>
      <c r="E508" s="27"/>
      <c r="F508" s="27"/>
      <c r="G508" s="28"/>
      <c r="H508" s="28"/>
      <c r="I508" s="28"/>
      <c r="J508" s="27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36"/>
      <c r="B509" s="39"/>
      <c r="C509" s="39"/>
      <c r="D509" s="39"/>
      <c r="E509" s="43"/>
      <c r="F509" s="43"/>
      <c r="G509" s="46"/>
      <c r="H509" s="46"/>
      <c r="I509" s="46"/>
      <c r="J509" s="43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15"/>
      <c r="B510" s="20"/>
      <c r="C510" s="20"/>
      <c r="D510" s="20"/>
      <c r="E510" s="27"/>
      <c r="F510" s="27"/>
      <c r="G510" s="28"/>
      <c r="H510" s="28"/>
      <c r="I510" s="28"/>
      <c r="J510" s="27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36"/>
      <c r="B511" s="39"/>
      <c r="C511" s="39"/>
      <c r="D511" s="39"/>
      <c r="E511" s="43"/>
      <c r="F511" s="43"/>
      <c r="G511" s="46"/>
      <c r="H511" s="46"/>
      <c r="I511" s="46"/>
      <c r="J511" s="43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15"/>
      <c r="B512" s="20"/>
      <c r="C512" s="20"/>
      <c r="D512" s="20"/>
      <c r="E512" s="27"/>
      <c r="F512" s="27"/>
      <c r="G512" s="28"/>
      <c r="H512" s="28"/>
      <c r="I512" s="28"/>
      <c r="J512" s="27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36"/>
      <c r="B513" s="39"/>
      <c r="C513" s="39"/>
      <c r="D513" s="39"/>
      <c r="E513" s="43"/>
      <c r="F513" s="43"/>
      <c r="G513" s="46"/>
      <c r="H513" s="46"/>
      <c r="I513" s="46"/>
      <c r="J513" s="43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15"/>
      <c r="B514" s="20"/>
      <c r="C514" s="20"/>
      <c r="D514" s="20"/>
      <c r="E514" s="27"/>
      <c r="F514" s="27"/>
      <c r="G514" s="28"/>
      <c r="H514" s="28"/>
      <c r="I514" s="28"/>
      <c r="J514" s="27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36"/>
      <c r="B515" s="39"/>
      <c r="C515" s="39"/>
      <c r="D515" s="39"/>
      <c r="E515" s="43"/>
      <c r="F515" s="43"/>
      <c r="G515" s="46"/>
      <c r="H515" s="46"/>
      <c r="I515" s="46"/>
      <c r="J515" s="43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15"/>
      <c r="B516" s="20"/>
      <c r="C516" s="20"/>
      <c r="D516" s="20"/>
      <c r="E516" s="27"/>
      <c r="F516" s="27"/>
      <c r="G516" s="28"/>
      <c r="H516" s="28"/>
      <c r="I516" s="28"/>
      <c r="J516" s="27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36"/>
      <c r="B517" s="39"/>
      <c r="C517" s="39"/>
      <c r="D517" s="39"/>
      <c r="E517" s="43"/>
      <c r="F517" s="43"/>
      <c r="G517" s="46"/>
      <c r="H517" s="46"/>
      <c r="I517" s="46"/>
      <c r="J517" s="43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15"/>
      <c r="B518" s="20"/>
      <c r="C518" s="20"/>
      <c r="D518" s="20"/>
      <c r="E518" s="27"/>
      <c r="F518" s="27"/>
      <c r="G518" s="28"/>
      <c r="H518" s="28"/>
      <c r="I518" s="28"/>
      <c r="J518" s="27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36"/>
      <c r="B519" s="39"/>
      <c r="C519" s="39"/>
      <c r="D519" s="39"/>
      <c r="E519" s="43"/>
      <c r="F519" s="43"/>
      <c r="G519" s="46"/>
      <c r="H519" s="46"/>
      <c r="I519" s="46"/>
      <c r="J519" s="43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15"/>
      <c r="B520" s="20"/>
      <c r="C520" s="20"/>
      <c r="D520" s="20"/>
      <c r="E520" s="27"/>
      <c r="F520" s="27"/>
      <c r="G520" s="28"/>
      <c r="H520" s="28"/>
      <c r="I520" s="28"/>
      <c r="J520" s="27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36"/>
      <c r="B521" s="39"/>
      <c r="C521" s="39"/>
      <c r="D521" s="39"/>
      <c r="E521" s="43"/>
      <c r="F521" s="43"/>
      <c r="G521" s="46"/>
      <c r="H521" s="46"/>
      <c r="I521" s="46"/>
      <c r="J521" s="43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15"/>
      <c r="B522" s="20"/>
      <c r="C522" s="20"/>
      <c r="D522" s="20"/>
      <c r="E522" s="27"/>
      <c r="F522" s="27"/>
      <c r="G522" s="28"/>
      <c r="H522" s="28"/>
      <c r="I522" s="28"/>
      <c r="J522" s="27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36"/>
      <c r="B523" s="39"/>
      <c r="C523" s="39"/>
      <c r="D523" s="39"/>
      <c r="E523" s="43"/>
      <c r="F523" s="43"/>
      <c r="G523" s="46"/>
      <c r="H523" s="46"/>
      <c r="I523" s="46"/>
      <c r="J523" s="43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15"/>
      <c r="B524" s="20"/>
      <c r="C524" s="20"/>
      <c r="D524" s="20"/>
      <c r="E524" s="27"/>
      <c r="F524" s="27"/>
      <c r="G524" s="28"/>
      <c r="H524" s="28"/>
      <c r="I524" s="28"/>
      <c r="J524" s="27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36"/>
      <c r="B525" s="39"/>
      <c r="C525" s="39"/>
      <c r="D525" s="39"/>
      <c r="E525" s="43"/>
      <c r="F525" s="43"/>
      <c r="G525" s="46"/>
      <c r="H525" s="46"/>
      <c r="I525" s="46"/>
      <c r="J525" s="43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15"/>
      <c r="B526" s="20"/>
      <c r="C526" s="20"/>
      <c r="D526" s="20"/>
      <c r="E526" s="27"/>
      <c r="F526" s="27"/>
      <c r="G526" s="28"/>
      <c r="H526" s="28"/>
      <c r="I526" s="28"/>
      <c r="J526" s="27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36"/>
      <c r="B527" s="39"/>
      <c r="C527" s="39"/>
      <c r="D527" s="39"/>
      <c r="E527" s="43"/>
      <c r="F527" s="43"/>
      <c r="G527" s="46"/>
      <c r="H527" s="46"/>
      <c r="I527" s="46"/>
      <c r="J527" s="43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15"/>
      <c r="B528" s="20"/>
      <c r="C528" s="20"/>
      <c r="D528" s="20"/>
      <c r="E528" s="27"/>
      <c r="F528" s="27"/>
      <c r="G528" s="28"/>
      <c r="H528" s="28"/>
      <c r="I528" s="28"/>
      <c r="J528" s="27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36"/>
      <c r="B529" s="39"/>
      <c r="C529" s="39"/>
      <c r="D529" s="39"/>
      <c r="E529" s="43"/>
      <c r="F529" s="43"/>
      <c r="G529" s="46"/>
      <c r="H529" s="46"/>
      <c r="I529" s="46"/>
      <c r="J529" s="43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15"/>
      <c r="B530" s="20"/>
      <c r="C530" s="20"/>
      <c r="D530" s="20"/>
      <c r="E530" s="27"/>
      <c r="F530" s="27"/>
      <c r="G530" s="28"/>
      <c r="H530" s="28"/>
      <c r="I530" s="28"/>
      <c r="J530" s="27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36"/>
      <c r="B531" s="39"/>
      <c r="C531" s="39"/>
      <c r="D531" s="39"/>
      <c r="E531" s="43"/>
      <c r="F531" s="43"/>
      <c r="G531" s="46"/>
      <c r="H531" s="46"/>
      <c r="I531" s="46"/>
      <c r="J531" s="43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15"/>
      <c r="B532" s="20"/>
      <c r="C532" s="20"/>
      <c r="D532" s="20"/>
      <c r="E532" s="27"/>
      <c r="F532" s="27"/>
      <c r="G532" s="28"/>
      <c r="H532" s="28"/>
      <c r="I532" s="28"/>
      <c r="J532" s="27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36"/>
      <c r="B533" s="39"/>
      <c r="C533" s="39"/>
      <c r="D533" s="39"/>
      <c r="E533" s="43"/>
      <c r="F533" s="43"/>
      <c r="G533" s="46"/>
      <c r="H533" s="46"/>
      <c r="I533" s="46"/>
      <c r="J533" s="43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15"/>
      <c r="B534" s="20"/>
      <c r="C534" s="20"/>
      <c r="D534" s="20"/>
      <c r="E534" s="27"/>
      <c r="F534" s="27"/>
      <c r="G534" s="28"/>
      <c r="H534" s="28"/>
      <c r="I534" s="28"/>
      <c r="J534" s="27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36"/>
      <c r="B535" s="39"/>
      <c r="C535" s="39"/>
      <c r="D535" s="39"/>
      <c r="E535" s="43"/>
      <c r="F535" s="43"/>
      <c r="G535" s="46"/>
      <c r="H535" s="46"/>
      <c r="I535" s="46"/>
      <c r="J535" s="43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15"/>
      <c r="B536" s="20"/>
      <c r="C536" s="20"/>
      <c r="D536" s="20"/>
      <c r="E536" s="27"/>
      <c r="F536" s="27"/>
      <c r="G536" s="28"/>
      <c r="H536" s="28"/>
      <c r="I536" s="28"/>
      <c r="J536" s="27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36"/>
      <c r="B537" s="39"/>
      <c r="C537" s="39"/>
      <c r="D537" s="39"/>
      <c r="E537" s="43"/>
      <c r="F537" s="43"/>
      <c r="G537" s="46"/>
      <c r="H537" s="46"/>
      <c r="I537" s="46"/>
      <c r="J537" s="43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15"/>
      <c r="B538" s="20"/>
      <c r="C538" s="20"/>
      <c r="D538" s="20"/>
      <c r="E538" s="27"/>
      <c r="F538" s="27"/>
      <c r="G538" s="28"/>
      <c r="H538" s="28"/>
      <c r="I538" s="28"/>
      <c r="J538" s="27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36"/>
      <c r="B539" s="39"/>
      <c r="C539" s="39"/>
      <c r="D539" s="39"/>
      <c r="E539" s="43"/>
      <c r="F539" s="43"/>
      <c r="G539" s="46"/>
      <c r="H539" s="46"/>
      <c r="I539" s="46"/>
      <c r="J539" s="43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15"/>
      <c r="B540" s="20"/>
      <c r="C540" s="20"/>
      <c r="D540" s="20"/>
      <c r="E540" s="27"/>
      <c r="F540" s="27"/>
      <c r="G540" s="28"/>
      <c r="H540" s="28"/>
      <c r="I540" s="28"/>
      <c r="J540" s="27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36"/>
      <c r="B541" s="39"/>
      <c r="C541" s="39"/>
      <c r="D541" s="39"/>
      <c r="E541" s="43"/>
      <c r="F541" s="43"/>
      <c r="G541" s="46"/>
      <c r="H541" s="46"/>
      <c r="I541" s="46"/>
      <c r="J541" s="43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15"/>
      <c r="B542" s="20"/>
      <c r="C542" s="20"/>
      <c r="D542" s="20"/>
      <c r="E542" s="27"/>
      <c r="F542" s="27"/>
      <c r="G542" s="28"/>
      <c r="H542" s="28"/>
      <c r="I542" s="28"/>
      <c r="J542" s="27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36"/>
      <c r="B543" s="39"/>
      <c r="C543" s="39"/>
      <c r="D543" s="39"/>
      <c r="E543" s="43"/>
      <c r="F543" s="43"/>
      <c r="G543" s="46"/>
      <c r="H543" s="46"/>
      <c r="I543" s="46"/>
      <c r="J543" s="43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15"/>
      <c r="B544" s="20"/>
      <c r="C544" s="20"/>
      <c r="D544" s="20"/>
      <c r="E544" s="27"/>
      <c r="F544" s="27"/>
      <c r="G544" s="28"/>
      <c r="H544" s="28"/>
      <c r="I544" s="28"/>
      <c r="J544" s="27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36"/>
      <c r="B545" s="39"/>
      <c r="C545" s="39"/>
      <c r="D545" s="39"/>
      <c r="E545" s="43"/>
      <c r="F545" s="43"/>
      <c r="G545" s="46"/>
      <c r="H545" s="46"/>
      <c r="I545" s="46"/>
      <c r="J545" s="43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15"/>
      <c r="B546" s="20"/>
      <c r="C546" s="20"/>
      <c r="D546" s="20"/>
      <c r="E546" s="27"/>
      <c r="F546" s="27"/>
      <c r="G546" s="28"/>
      <c r="H546" s="28"/>
      <c r="I546" s="28"/>
      <c r="J546" s="27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36"/>
      <c r="B547" s="39"/>
      <c r="C547" s="39"/>
      <c r="D547" s="39"/>
      <c r="E547" s="43"/>
      <c r="F547" s="43"/>
      <c r="G547" s="46"/>
      <c r="H547" s="46"/>
      <c r="I547" s="46"/>
      <c r="J547" s="43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15"/>
      <c r="B548" s="20"/>
      <c r="C548" s="20"/>
      <c r="D548" s="20"/>
      <c r="E548" s="27"/>
      <c r="F548" s="27"/>
      <c r="G548" s="28"/>
      <c r="H548" s="28"/>
      <c r="I548" s="28"/>
      <c r="J548" s="27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36"/>
      <c r="B549" s="39"/>
      <c r="C549" s="39"/>
      <c r="D549" s="39"/>
      <c r="E549" s="43"/>
      <c r="F549" s="43"/>
      <c r="G549" s="46"/>
      <c r="H549" s="46"/>
      <c r="I549" s="46"/>
      <c r="J549" s="43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15"/>
      <c r="B550" s="20"/>
      <c r="C550" s="20"/>
      <c r="D550" s="20"/>
      <c r="E550" s="27"/>
      <c r="F550" s="27"/>
      <c r="G550" s="28"/>
      <c r="H550" s="28"/>
      <c r="I550" s="28"/>
      <c r="J550" s="27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36"/>
      <c r="B551" s="39"/>
      <c r="C551" s="39"/>
      <c r="D551" s="39"/>
      <c r="E551" s="43"/>
      <c r="F551" s="43"/>
      <c r="G551" s="46"/>
      <c r="H551" s="46"/>
      <c r="I551" s="46"/>
      <c r="J551" s="43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15"/>
      <c r="B552" s="20"/>
      <c r="C552" s="20"/>
      <c r="D552" s="20"/>
      <c r="E552" s="27"/>
      <c r="F552" s="27"/>
      <c r="G552" s="28"/>
      <c r="H552" s="28"/>
      <c r="I552" s="28"/>
      <c r="J552" s="27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36"/>
      <c r="B553" s="39"/>
      <c r="C553" s="39"/>
      <c r="D553" s="39"/>
      <c r="E553" s="43"/>
      <c r="F553" s="43"/>
      <c r="G553" s="46"/>
      <c r="H553" s="46"/>
      <c r="I553" s="46"/>
      <c r="J553" s="43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15"/>
      <c r="B554" s="20"/>
      <c r="C554" s="20"/>
      <c r="D554" s="20"/>
      <c r="E554" s="27"/>
      <c r="F554" s="27"/>
      <c r="G554" s="28"/>
      <c r="H554" s="28"/>
      <c r="I554" s="28"/>
      <c r="J554" s="27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36"/>
      <c r="B555" s="39"/>
      <c r="C555" s="39"/>
      <c r="D555" s="39"/>
      <c r="E555" s="43"/>
      <c r="F555" s="43"/>
      <c r="G555" s="46"/>
      <c r="H555" s="46"/>
      <c r="I555" s="46"/>
      <c r="J555" s="43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15"/>
      <c r="B556" s="20"/>
      <c r="C556" s="20"/>
      <c r="D556" s="20"/>
      <c r="E556" s="27"/>
      <c r="F556" s="27"/>
      <c r="G556" s="28"/>
      <c r="H556" s="28"/>
      <c r="I556" s="28"/>
      <c r="J556" s="27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36"/>
      <c r="B557" s="39"/>
      <c r="C557" s="39"/>
      <c r="D557" s="39"/>
      <c r="E557" s="43"/>
      <c r="F557" s="43"/>
      <c r="G557" s="46"/>
      <c r="H557" s="46"/>
      <c r="I557" s="46"/>
      <c r="J557" s="43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15"/>
      <c r="B558" s="20"/>
      <c r="C558" s="20"/>
      <c r="D558" s="20"/>
      <c r="E558" s="27"/>
      <c r="F558" s="27"/>
      <c r="G558" s="28"/>
      <c r="H558" s="28"/>
      <c r="I558" s="28"/>
      <c r="J558" s="27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36"/>
      <c r="B559" s="39"/>
      <c r="C559" s="39"/>
      <c r="D559" s="39"/>
      <c r="E559" s="43"/>
      <c r="F559" s="43"/>
      <c r="G559" s="46"/>
      <c r="H559" s="46"/>
      <c r="I559" s="46"/>
      <c r="J559" s="43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15"/>
      <c r="B560" s="20"/>
      <c r="C560" s="20"/>
      <c r="D560" s="20"/>
      <c r="E560" s="27"/>
      <c r="F560" s="27"/>
      <c r="G560" s="28"/>
      <c r="H560" s="28"/>
      <c r="I560" s="28"/>
      <c r="J560" s="27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36"/>
      <c r="B561" s="39"/>
      <c r="C561" s="39"/>
      <c r="D561" s="39"/>
      <c r="E561" s="43"/>
      <c r="F561" s="43"/>
      <c r="G561" s="46"/>
      <c r="H561" s="46"/>
      <c r="I561" s="46"/>
      <c r="J561" s="43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15"/>
      <c r="B562" s="20"/>
      <c r="C562" s="20"/>
      <c r="D562" s="20"/>
      <c r="E562" s="27"/>
      <c r="F562" s="27"/>
      <c r="G562" s="28"/>
      <c r="H562" s="28"/>
      <c r="I562" s="28"/>
      <c r="J562" s="27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36"/>
      <c r="B563" s="39"/>
      <c r="C563" s="39"/>
      <c r="D563" s="39"/>
      <c r="E563" s="43"/>
      <c r="F563" s="43"/>
      <c r="G563" s="46"/>
      <c r="H563" s="46"/>
      <c r="I563" s="46"/>
      <c r="J563" s="43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15"/>
      <c r="B564" s="20"/>
      <c r="C564" s="20"/>
      <c r="D564" s="20"/>
      <c r="E564" s="27"/>
      <c r="F564" s="27"/>
      <c r="G564" s="28"/>
      <c r="H564" s="28"/>
      <c r="I564" s="28"/>
      <c r="J564" s="27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36"/>
      <c r="B565" s="39"/>
      <c r="C565" s="39"/>
      <c r="D565" s="39"/>
      <c r="E565" s="43"/>
      <c r="F565" s="43"/>
      <c r="G565" s="46"/>
      <c r="H565" s="46"/>
      <c r="I565" s="46"/>
      <c r="J565" s="43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15"/>
      <c r="B566" s="20"/>
      <c r="C566" s="20"/>
      <c r="D566" s="20"/>
      <c r="E566" s="27"/>
      <c r="F566" s="27"/>
      <c r="G566" s="28"/>
      <c r="H566" s="28"/>
      <c r="I566" s="28"/>
      <c r="J566" s="27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36"/>
      <c r="B567" s="39"/>
      <c r="C567" s="39"/>
      <c r="D567" s="39"/>
      <c r="E567" s="43"/>
      <c r="F567" s="43"/>
      <c r="G567" s="46"/>
      <c r="H567" s="46"/>
      <c r="I567" s="46"/>
      <c r="J567" s="43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15"/>
      <c r="B568" s="20"/>
      <c r="C568" s="20"/>
      <c r="D568" s="20"/>
      <c r="E568" s="27"/>
      <c r="F568" s="27"/>
      <c r="G568" s="28"/>
      <c r="H568" s="28"/>
      <c r="I568" s="28"/>
      <c r="J568" s="27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36"/>
      <c r="B569" s="39"/>
      <c r="C569" s="39"/>
      <c r="D569" s="39"/>
      <c r="E569" s="43"/>
      <c r="F569" s="43"/>
      <c r="G569" s="46"/>
      <c r="H569" s="46"/>
      <c r="I569" s="46"/>
      <c r="J569" s="43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15"/>
      <c r="B570" s="20"/>
      <c r="C570" s="20"/>
      <c r="D570" s="20"/>
      <c r="E570" s="27"/>
      <c r="F570" s="27"/>
      <c r="G570" s="28"/>
      <c r="H570" s="28"/>
      <c r="I570" s="28"/>
      <c r="J570" s="27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36"/>
      <c r="B571" s="39"/>
      <c r="C571" s="39"/>
      <c r="D571" s="39"/>
      <c r="E571" s="43"/>
      <c r="F571" s="43"/>
      <c r="G571" s="46"/>
      <c r="H571" s="46"/>
      <c r="I571" s="46"/>
      <c r="J571" s="43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15"/>
      <c r="B572" s="20"/>
      <c r="C572" s="20"/>
      <c r="D572" s="20"/>
      <c r="E572" s="27"/>
      <c r="F572" s="27"/>
      <c r="G572" s="28"/>
      <c r="H572" s="28"/>
      <c r="I572" s="28"/>
      <c r="J572" s="27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36"/>
      <c r="B573" s="39"/>
      <c r="C573" s="39"/>
      <c r="D573" s="39"/>
      <c r="E573" s="43"/>
      <c r="F573" s="43"/>
      <c r="G573" s="46"/>
      <c r="H573" s="46"/>
      <c r="I573" s="46"/>
      <c r="J573" s="43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15"/>
      <c r="B574" s="20"/>
      <c r="C574" s="20"/>
      <c r="D574" s="20"/>
      <c r="E574" s="27"/>
      <c r="F574" s="27"/>
      <c r="G574" s="28"/>
      <c r="H574" s="28"/>
      <c r="I574" s="28"/>
      <c r="J574" s="27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36"/>
      <c r="B575" s="39"/>
      <c r="C575" s="39"/>
      <c r="D575" s="39"/>
      <c r="E575" s="43"/>
      <c r="F575" s="43"/>
      <c r="G575" s="46"/>
      <c r="H575" s="46"/>
      <c r="I575" s="46"/>
      <c r="J575" s="43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15"/>
      <c r="B576" s="20"/>
      <c r="C576" s="20"/>
      <c r="D576" s="20"/>
      <c r="E576" s="27"/>
      <c r="F576" s="27"/>
      <c r="G576" s="28"/>
      <c r="H576" s="28"/>
      <c r="I576" s="28"/>
      <c r="J576" s="27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36"/>
      <c r="B577" s="39"/>
      <c r="C577" s="39"/>
      <c r="D577" s="39"/>
      <c r="E577" s="43"/>
      <c r="F577" s="43"/>
      <c r="G577" s="46"/>
      <c r="H577" s="46"/>
      <c r="I577" s="46"/>
      <c r="J577" s="43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15"/>
      <c r="B578" s="20"/>
      <c r="C578" s="20"/>
      <c r="D578" s="20"/>
      <c r="E578" s="27"/>
      <c r="F578" s="27"/>
      <c r="G578" s="28"/>
      <c r="H578" s="28"/>
      <c r="I578" s="28"/>
      <c r="J578" s="27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36"/>
      <c r="B579" s="39"/>
      <c r="C579" s="39"/>
      <c r="D579" s="39"/>
      <c r="E579" s="43"/>
      <c r="F579" s="43"/>
      <c r="G579" s="46"/>
      <c r="H579" s="46"/>
      <c r="I579" s="46"/>
      <c r="J579" s="43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15"/>
      <c r="B580" s="20"/>
      <c r="C580" s="20"/>
      <c r="D580" s="20"/>
      <c r="E580" s="27"/>
      <c r="F580" s="27"/>
      <c r="G580" s="28"/>
      <c r="H580" s="28"/>
      <c r="I580" s="28"/>
      <c r="J580" s="27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36"/>
      <c r="B581" s="39"/>
      <c r="C581" s="39"/>
      <c r="D581" s="39"/>
      <c r="E581" s="43"/>
      <c r="F581" s="43"/>
      <c r="G581" s="46"/>
      <c r="H581" s="46"/>
      <c r="I581" s="46"/>
      <c r="J581" s="43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15"/>
      <c r="B582" s="20"/>
      <c r="C582" s="20"/>
      <c r="D582" s="20"/>
      <c r="E582" s="27"/>
      <c r="F582" s="27"/>
      <c r="G582" s="28"/>
      <c r="H582" s="28"/>
      <c r="I582" s="28"/>
      <c r="J582" s="27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36"/>
      <c r="B583" s="39"/>
      <c r="C583" s="39"/>
      <c r="D583" s="39"/>
      <c r="E583" s="43"/>
      <c r="F583" s="43"/>
      <c r="G583" s="46"/>
      <c r="H583" s="46"/>
      <c r="I583" s="46"/>
      <c r="J583" s="43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15"/>
      <c r="B584" s="20"/>
      <c r="C584" s="20"/>
      <c r="D584" s="20"/>
      <c r="E584" s="27"/>
      <c r="F584" s="27"/>
      <c r="G584" s="28"/>
      <c r="H584" s="28"/>
      <c r="I584" s="28"/>
      <c r="J584" s="27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36"/>
      <c r="B585" s="39"/>
      <c r="C585" s="39"/>
      <c r="D585" s="39"/>
      <c r="E585" s="43"/>
      <c r="F585" s="43"/>
      <c r="G585" s="46"/>
      <c r="H585" s="46"/>
      <c r="I585" s="46"/>
      <c r="J585" s="43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15"/>
      <c r="B586" s="20"/>
      <c r="C586" s="20"/>
      <c r="D586" s="20"/>
      <c r="E586" s="27"/>
      <c r="F586" s="27"/>
      <c r="G586" s="28"/>
      <c r="H586" s="28"/>
      <c r="I586" s="28"/>
      <c r="J586" s="27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36"/>
      <c r="B587" s="39"/>
      <c r="C587" s="39"/>
      <c r="D587" s="39"/>
      <c r="E587" s="43"/>
      <c r="F587" s="43"/>
      <c r="G587" s="46"/>
      <c r="H587" s="46"/>
      <c r="I587" s="46"/>
      <c r="J587" s="43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15"/>
      <c r="B588" s="20"/>
      <c r="C588" s="20"/>
      <c r="D588" s="20"/>
      <c r="E588" s="27"/>
      <c r="F588" s="27"/>
      <c r="G588" s="28"/>
      <c r="H588" s="28"/>
      <c r="I588" s="28"/>
      <c r="J588" s="27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36"/>
      <c r="B589" s="39"/>
      <c r="C589" s="39"/>
      <c r="D589" s="39"/>
      <c r="E589" s="43"/>
      <c r="F589" s="43"/>
      <c r="G589" s="46"/>
      <c r="H589" s="46"/>
      <c r="I589" s="46"/>
      <c r="J589" s="43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15"/>
      <c r="B590" s="20"/>
      <c r="C590" s="20"/>
      <c r="D590" s="20"/>
      <c r="E590" s="27"/>
      <c r="F590" s="27"/>
      <c r="G590" s="28"/>
      <c r="H590" s="28"/>
      <c r="I590" s="28"/>
      <c r="J590" s="27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36"/>
      <c r="B591" s="39"/>
      <c r="C591" s="39"/>
      <c r="D591" s="39"/>
      <c r="E591" s="43"/>
      <c r="F591" s="43"/>
      <c r="G591" s="46"/>
      <c r="H591" s="46"/>
      <c r="I591" s="46"/>
      <c r="J591" s="43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15"/>
      <c r="B592" s="20"/>
      <c r="C592" s="20"/>
      <c r="D592" s="20"/>
      <c r="E592" s="27"/>
      <c r="F592" s="27"/>
      <c r="G592" s="28"/>
      <c r="H592" s="28"/>
      <c r="I592" s="28"/>
      <c r="J592" s="27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36"/>
      <c r="B593" s="39"/>
      <c r="C593" s="39"/>
      <c r="D593" s="39"/>
      <c r="E593" s="43"/>
      <c r="F593" s="43"/>
      <c r="G593" s="46"/>
      <c r="H593" s="46"/>
      <c r="I593" s="46"/>
      <c r="J593" s="43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15"/>
      <c r="B594" s="20"/>
      <c r="C594" s="20"/>
      <c r="D594" s="20"/>
      <c r="E594" s="27"/>
      <c r="F594" s="27"/>
      <c r="G594" s="28"/>
      <c r="H594" s="28"/>
      <c r="I594" s="28"/>
      <c r="J594" s="27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36"/>
      <c r="B595" s="39"/>
      <c r="C595" s="39"/>
      <c r="D595" s="39"/>
      <c r="E595" s="43"/>
      <c r="F595" s="43"/>
      <c r="G595" s="46"/>
      <c r="H595" s="46"/>
      <c r="I595" s="46"/>
      <c r="J595" s="43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15"/>
      <c r="B596" s="20"/>
      <c r="C596" s="20"/>
      <c r="D596" s="20"/>
      <c r="E596" s="27"/>
      <c r="F596" s="27"/>
      <c r="G596" s="28"/>
      <c r="H596" s="28"/>
      <c r="I596" s="28"/>
      <c r="J596" s="27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36"/>
      <c r="B597" s="39"/>
      <c r="C597" s="39"/>
      <c r="D597" s="39"/>
      <c r="E597" s="43"/>
      <c r="F597" s="43"/>
      <c r="G597" s="46"/>
      <c r="H597" s="46"/>
      <c r="I597" s="46"/>
      <c r="J597" s="43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15"/>
      <c r="B598" s="20"/>
      <c r="C598" s="20"/>
      <c r="D598" s="20"/>
      <c r="E598" s="27"/>
      <c r="F598" s="27"/>
      <c r="G598" s="28"/>
      <c r="H598" s="28"/>
      <c r="I598" s="28"/>
      <c r="J598" s="27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36"/>
      <c r="B599" s="39"/>
      <c r="C599" s="39"/>
      <c r="D599" s="39"/>
      <c r="E599" s="43"/>
      <c r="F599" s="43"/>
      <c r="G599" s="46"/>
      <c r="H599" s="46"/>
      <c r="I599" s="46"/>
      <c r="J599" s="43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15"/>
      <c r="B600" s="20"/>
      <c r="C600" s="20"/>
      <c r="D600" s="20"/>
      <c r="E600" s="27"/>
      <c r="F600" s="27"/>
      <c r="G600" s="28"/>
      <c r="H600" s="28"/>
      <c r="I600" s="28"/>
      <c r="J600" s="27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36"/>
      <c r="B601" s="39"/>
      <c r="C601" s="39"/>
      <c r="D601" s="39"/>
      <c r="E601" s="43"/>
      <c r="F601" s="43"/>
      <c r="G601" s="46"/>
      <c r="H601" s="46"/>
      <c r="I601" s="46"/>
      <c r="J601" s="43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15"/>
      <c r="B602" s="20"/>
      <c r="C602" s="20"/>
      <c r="D602" s="20"/>
      <c r="E602" s="27"/>
      <c r="F602" s="27"/>
      <c r="G602" s="28"/>
      <c r="H602" s="28"/>
      <c r="I602" s="28"/>
      <c r="J602" s="27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36"/>
      <c r="B603" s="39"/>
      <c r="C603" s="39"/>
      <c r="D603" s="39"/>
      <c r="E603" s="43"/>
      <c r="F603" s="43"/>
      <c r="G603" s="46"/>
      <c r="H603" s="46"/>
      <c r="I603" s="46"/>
      <c r="J603" s="43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15"/>
      <c r="B604" s="20"/>
      <c r="C604" s="20"/>
      <c r="D604" s="20"/>
      <c r="E604" s="27"/>
      <c r="F604" s="27"/>
      <c r="G604" s="28"/>
      <c r="H604" s="28"/>
      <c r="I604" s="28"/>
      <c r="J604" s="27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36"/>
      <c r="B605" s="39"/>
      <c r="C605" s="39"/>
      <c r="D605" s="39"/>
      <c r="E605" s="43"/>
      <c r="F605" s="43"/>
      <c r="G605" s="46"/>
      <c r="H605" s="46"/>
      <c r="I605" s="46"/>
      <c r="J605" s="43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15"/>
      <c r="B606" s="20"/>
      <c r="C606" s="20"/>
      <c r="D606" s="20"/>
      <c r="E606" s="27"/>
      <c r="F606" s="27"/>
      <c r="G606" s="28"/>
      <c r="H606" s="28"/>
      <c r="I606" s="28"/>
      <c r="J606" s="27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36"/>
      <c r="B607" s="39"/>
      <c r="C607" s="39"/>
      <c r="D607" s="39"/>
      <c r="E607" s="43"/>
      <c r="F607" s="43"/>
      <c r="G607" s="46"/>
      <c r="H607" s="46"/>
      <c r="I607" s="46"/>
      <c r="J607" s="43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15"/>
      <c r="B608" s="20"/>
      <c r="C608" s="20"/>
      <c r="D608" s="20"/>
      <c r="E608" s="27"/>
      <c r="F608" s="27"/>
      <c r="G608" s="28"/>
      <c r="H608" s="28"/>
      <c r="I608" s="28"/>
      <c r="J608" s="27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36"/>
      <c r="B609" s="39"/>
      <c r="C609" s="39"/>
      <c r="D609" s="39"/>
      <c r="E609" s="43"/>
      <c r="F609" s="43"/>
      <c r="G609" s="46"/>
      <c r="H609" s="46"/>
      <c r="I609" s="46"/>
      <c r="J609" s="43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15"/>
      <c r="B610" s="20"/>
      <c r="C610" s="20"/>
      <c r="D610" s="20"/>
      <c r="E610" s="27"/>
      <c r="F610" s="27"/>
      <c r="G610" s="28"/>
      <c r="H610" s="28"/>
      <c r="I610" s="28"/>
      <c r="J610" s="27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36"/>
      <c r="B611" s="39"/>
      <c r="C611" s="39"/>
      <c r="D611" s="39"/>
      <c r="E611" s="43"/>
      <c r="F611" s="43"/>
      <c r="G611" s="46"/>
      <c r="H611" s="46"/>
      <c r="I611" s="46"/>
      <c r="J611" s="43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15"/>
      <c r="B612" s="20"/>
      <c r="C612" s="20"/>
      <c r="D612" s="20"/>
      <c r="E612" s="27"/>
      <c r="F612" s="27"/>
      <c r="G612" s="28"/>
      <c r="H612" s="28"/>
      <c r="I612" s="28"/>
      <c r="J612" s="27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36"/>
      <c r="B613" s="39"/>
      <c r="C613" s="39"/>
      <c r="D613" s="39"/>
      <c r="E613" s="43"/>
      <c r="F613" s="43"/>
      <c r="G613" s="46"/>
      <c r="H613" s="46"/>
      <c r="I613" s="46"/>
      <c r="J613" s="43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15"/>
      <c r="B614" s="20"/>
      <c r="C614" s="20"/>
      <c r="D614" s="20"/>
      <c r="E614" s="27"/>
      <c r="F614" s="27"/>
      <c r="G614" s="28"/>
      <c r="H614" s="28"/>
      <c r="I614" s="28"/>
      <c r="J614" s="27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36"/>
      <c r="B615" s="39"/>
      <c r="C615" s="39"/>
      <c r="D615" s="39"/>
      <c r="E615" s="43"/>
      <c r="F615" s="43"/>
      <c r="G615" s="46"/>
      <c r="H615" s="46"/>
      <c r="I615" s="46"/>
      <c r="J615" s="43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15"/>
      <c r="B616" s="20"/>
      <c r="C616" s="20"/>
      <c r="D616" s="20"/>
      <c r="E616" s="27"/>
      <c r="F616" s="27"/>
      <c r="G616" s="28"/>
      <c r="H616" s="28"/>
      <c r="I616" s="28"/>
      <c r="J616" s="27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36"/>
      <c r="B617" s="39"/>
      <c r="C617" s="39"/>
      <c r="D617" s="39"/>
      <c r="E617" s="43"/>
      <c r="F617" s="43"/>
      <c r="G617" s="46"/>
      <c r="H617" s="46"/>
      <c r="I617" s="46"/>
      <c r="J617" s="43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15"/>
      <c r="B618" s="20"/>
      <c r="C618" s="20"/>
      <c r="D618" s="20"/>
      <c r="E618" s="27"/>
      <c r="F618" s="27"/>
      <c r="G618" s="28"/>
      <c r="H618" s="28"/>
      <c r="I618" s="28"/>
      <c r="J618" s="27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36"/>
      <c r="B619" s="39"/>
      <c r="C619" s="39"/>
      <c r="D619" s="39"/>
      <c r="E619" s="43"/>
      <c r="F619" s="43"/>
      <c r="G619" s="46"/>
      <c r="H619" s="46"/>
      <c r="I619" s="46"/>
      <c r="J619" s="43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15"/>
      <c r="B620" s="20"/>
      <c r="C620" s="20"/>
      <c r="D620" s="20"/>
      <c r="E620" s="27"/>
      <c r="F620" s="27"/>
      <c r="G620" s="28"/>
      <c r="H620" s="28"/>
      <c r="I620" s="28"/>
      <c r="J620" s="27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36"/>
      <c r="B621" s="39"/>
      <c r="C621" s="39"/>
      <c r="D621" s="39"/>
      <c r="E621" s="43"/>
      <c r="F621" s="43"/>
      <c r="G621" s="46"/>
      <c r="H621" s="46"/>
      <c r="I621" s="46"/>
      <c r="J621" s="43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15"/>
      <c r="B622" s="20"/>
      <c r="C622" s="20"/>
      <c r="D622" s="20"/>
      <c r="E622" s="27"/>
      <c r="F622" s="27"/>
      <c r="G622" s="28"/>
      <c r="H622" s="28"/>
      <c r="I622" s="28"/>
      <c r="J622" s="27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36"/>
      <c r="B623" s="39"/>
      <c r="C623" s="39"/>
      <c r="D623" s="39"/>
      <c r="E623" s="43"/>
      <c r="F623" s="43"/>
      <c r="G623" s="46"/>
      <c r="H623" s="46"/>
      <c r="I623" s="46"/>
      <c r="J623" s="43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15"/>
      <c r="B624" s="20"/>
      <c r="C624" s="20"/>
      <c r="D624" s="20"/>
      <c r="E624" s="27"/>
      <c r="F624" s="27"/>
      <c r="G624" s="28"/>
      <c r="H624" s="28"/>
      <c r="I624" s="28"/>
      <c r="J624" s="27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36"/>
      <c r="B625" s="39"/>
      <c r="C625" s="39"/>
      <c r="D625" s="39"/>
      <c r="E625" s="43"/>
      <c r="F625" s="43"/>
      <c r="G625" s="46"/>
      <c r="H625" s="46"/>
      <c r="I625" s="46"/>
      <c r="J625" s="43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15"/>
      <c r="B626" s="20"/>
      <c r="C626" s="20"/>
      <c r="D626" s="20"/>
      <c r="E626" s="27"/>
      <c r="F626" s="27"/>
      <c r="G626" s="28"/>
      <c r="H626" s="28"/>
      <c r="I626" s="28"/>
      <c r="J626" s="27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36"/>
      <c r="B627" s="39"/>
      <c r="C627" s="39"/>
      <c r="D627" s="39"/>
      <c r="E627" s="43"/>
      <c r="F627" s="43"/>
      <c r="G627" s="46"/>
      <c r="H627" s="46"/>
      <c r="I627" s="46"/>
      <c r="J627" s="43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15"/>
      <c r="B628" s="20"/>
      <c r="C628" s="20"/>
      <c r="D628" s="20"/>
      <c r="E628" s="27"/>
      <c r="F628" s="27"/>
      <c r="G628" s="28"/>
      <c r="H628" s="28"/>
      <c r="I628" s="28"/>
      <c r="J628" s="27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36"/>
      <c r="B629" s="39"/>
      <c r="C629" s="39"/>
      <c r="D629" s="39"/>
      <c r="E629" s="43"/>
      <c r="F629" s="43"/>
      <c r="G629" s="46"/>
      <c r="H629" s="46"/>
      <c r="I629" s="46"/>
      <c r="J629" s="43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15"/>
      <c r="B630" s="20"/>
      <c r="C630" s="20"/>
      <c r="D630" s="20"/>
      <c r="E630" s="27"/>
      <c r="F630" s="27"/>
      <c r="G630" s="28"/>
      <c r="H630" s="28"/>
      <c r="I630" s="28"/>
      <c r="J630" s="27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36"/>
      <c r="B631" s="39"/>
      <c r="C631" s="39"/>
      <c r="D631" s="39"/>
      <c r="E631" s="43"/>
      <c r="F631" s="43"/>
      <c r="G631" s="46"/>
      <c r="H631" s="46"/>
      <c r="I631" s="46"/>
      <c r="J631" s="43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15"/>
      <c r="B632" s="20"/>
      <c r="C632" s="20"/>
      <c r="D632" s="20"/>
      <c r="E632" s="27"/>
      <c r="F632" s="27"/>
      <c r="G632" s="28"/>
      <c r="H632" s="28"/>
      <c r="I632" s="28"/>
      <c r="J632" s="27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36"/>
      <c r="B633" s="39"/>
      <c r="C633" s="39"/>
      <c r="D633" s="39"/>
      <c r="E633" s="43"/>
      <c r="F633" s="43"/>
      <c r="G633" s="46"/>
      <c r="H633" s="46"/>
      <c r="I633" s="46"/>
      <c r="J633" s="43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15"/>
      <c r="B634" s="20"/>
      <c r="C634" s="20"/>
      <c r="D634" s="20"/>
      <c r="E634" s="27"/>
      <c r="F634" s="27"/>
      <c r="G634" s="28"/>
      <c r="H634" s="28"/>
      <c r="I634" s="28"/>
      <c r="J634" s="27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36"/>
      <c r="B635" s="39"/>
      <c r="C635" s="39"/>
      <c r="D635" s="39"/>
      <c r="E635" s="43"/>
      <c r="F635" s="43"/>
      <c r="G635" s="46"/>
      <c r="H635" s="46"/>
      <c r="I635" s="46"/>
      <c r="J635" s="43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15"/>
      <c r="B636" s="20"/>
      <c r="C636" s="20"/>
      <c r="D636" s="20"/>
      <c r="E636" s="27"/>
      <c r="F636" s="27"/>
      <c r="G636" s="28"/>
      <c r="H636" s="28"/>
      <c r="I636" s="28"/>
      <c r="J636" s="27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36"/>
      <c r="B637" s="39"/>
      <c r="C637" s="39"/>
      <c r="D637" s="39"/>
      <c r="E637" s="43"/>
      <c r="F637" s="43"/>
      <c r="G637" s="46"/>
      <c r="H637" s="46"/>
      <c r="I637" s="46"/>
      <c r="J637" s="43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15"/>
      <c r="B638" s="20"/>
      <c r="C638" s="20"/>
      <c r="D638" s="20"/>
      <c r="E638" s="27"/>
      <c r="F638" s="27"/>
      <c r="G638" s="28"/>
      <c r="H638" s="28"/>
      <c r="I638" s="28"/>
      <c r="J638" s="27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36"/>
      <c r="B639" s="39"/>
      <c r="C639" s="39"/>
      <c r="D639" s="39"/>
      <c r="E639" s="43"/>
      <c r="F639" s="43"/>
      <c r="G639" s="46"/>
      <c r="H639" s="46"/>
      <c r="I639" s="46"/>
      <c r="J639" s="43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15"/>
      <c r="B640" s="20"/>
      <c r="C640" s="20"/>
      <c r="D640" s="20"/>
      <c r="E640" s="27"/>
      <c r="F640" s="27"/>
      <c r="G640" s="28"/>
      <c r="H640" s="28"/>
      <c r="I640" s="28"/>
      <c r="J640" s="27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36"/>
      <c r="B641" s="39"/>
      <c r="C641" s="39"/>
      <c r="D641" s="39"/>
      <c r="E641" s="43"/>
      <c r="F641" s="43"/>
      <c r="G641" s="46"/>
      <c r="H641" s="46"/>
      <c r="I641" s="46"/>
      <c r="J641" s="43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15"/>
      <c r="B642" s="20"/>
      <c r="C642" s="20"/>
      <c r="D642" s="20"/>
      <c r="E642" s="27"/>
      <c r="F642" s="27"/>
      <c r="G642" s="28"/>
      <c r="H642" s="28"/>
      <c r="I642" s="28"/>
      <c r="J642" s="27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36"/>
      <c r="B643" s="39"/>
      <c r="C643" s="39"/>
      <c r="D643" s="39"/>
      <c r="E643" s="43"/>
      <c r="F643" s="43"/>
      <c r="G643" s="46"/>
      <c r="H643" s="46"/>
      <c r="I643" s="46"/>
      <c r="J643" s="43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15"/>
      <c r="B644" s="20"/>
      <c r="C644" s="20"/>
      <c r="D644" s="20"/>
      <c r="E644" s="27"/>
      <c r="F644" s="27"/>
      <c r="G644" s="28"/>
      <c r="H644" s="28"/>
      <c r="I644" s="28"/>
      <c r="J644" s="27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36"/>
      <c r="B645" s="39"/>
      <c r="C645" s="39"/>
      <c r="D645" s="39"/>
      <c r="E645" s="43"/>
      <c r="F645" s="43"/>
      <c r="G645" s="46"/>
      <c r="H645" s="46"/>
      <c r="I645" s="46"/>
      <c r="J645" s="43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15"/>
      <c r="B646" s="20"/>
      <c r="C646" s="20"/>
      <c r="D646" s="20"/>
      <c r="E646" s="27"/>
      <c r="F646" s="27"/>
      <c r="G646" s="28"/>
      <c r="H646" s="28"/>
      <c r="I646" s="28"/>
      <c r="J646" s="27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36"/>
      <c r="B647" s="39"/>
      <c r="C647" s="39"/>
      <c r="D647" s="39"/>
      <c r="E647" s="43"/>
      <c r="F647" s="43"/>
      <c r="G647" s="46"/>
      <c r="H647" s="46"/>
      <c r="I647" s="46"/>
      <c r="J647" s="43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15"/>
      <c r="B648" s="20"/>
      <c r="C648" s="20"/>
      <c r="D648" s="20"/>
      <c r="E648" s="27"/>
      <c r="F648" s="27"/>
      <c r="G648" s="28"/>
      <c r="H648" s="28"/>
      <c r="I648" s="28"/>
      <c r="J648" s="27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36"/>
      <c r="B649" s="39"/>
      <c r="C649" s="39"/>
      <c r="D649" s="39"/>
      <c r="E649" s="43"/>
      <c r="F649" s="43"/>
      <c r="G649" s="46"/>
      <c r="H649" s="46"/>
      <c r="I649" s="46"/>
      <c r="J649" s="43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15"/>
      <c r="B650" s="20"/>
      <c r="C650" s="20"/>
      <c r="D650" s="20"/>
      <c r="E650" s="27"/>
      <c r="F650" s="27"/>
      <c r="G650" s="28"/>
      <c r="H650" s="28"/>
      <c r="I650" s="28"/>
      <c r="J650" s="27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36"/>
      <c r="B651" s="39"/>
      <c r="C651" s="39"/>
      <c r="D651" s="39"/>
      <c r="E651" s="43"/>
      <c r="F651" s="43"/>
      <c r="G651" s="46"/>
      <c r="H651" s="46"/>
      <c r="I651" s="46"/>
      <c r="J651" s="43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15"/>
      <c r="B652" s="20"/>
      <c r="C652" s="20"/>
      <c r="D652" s="20"/>
      <c r="E652" s="27"/>
      <c r="F652" s="27"/>
      <c r="G652" s="28"/>
      <c r="H652" s="28"/>
      <c r="I652" s="28"/>
      <c r="J652" s="27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36"/>
      <c r="B653" s="39"/>
      <c r="C653" s="39"/>
      <c r="D653" s="39"/>
      <c r="E653" s="43"/>
      <c r="F653" s="43"/>
      <c r="G653" s="46"/>
      <c r="H653" s="46"/>
      <c r="I653" s="46"/>
      <c r="J653" s="43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15"/>
      <c r="B654" s="20"/>
      <c r="C654" s="20"/>
      <c r="D654" s="20"/>
      <c r="E654" s="27"/>
      <c r="F654" s="27"/>
      <c r="G654" s="28"/>
      <c r="H654" s="28"/>
      <c r="I654" s="28"/>
      <c r="J654" s="27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36"/>
      <c r="B655" s="39"/>
      <c r="C655" s="39"/>
      <c r="D655" s="39"/>
      <c r="E655" s="43"/>
      <c r="F655" s="43"/>
      <c r="G655" s="46"/>
      <c r="H655" s="46"/>
      <c r="I655" s="46"/>
      <c r="J655" s="43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15"/>
      <c r="B656" s="20"/>
      <c r="C656" s="20"/>
      <c r="D656" s="20"/>
      <c r="E656" s="27"/>
      <c r="F656" s="27"/>
      <c r="G656" s="28"/>
      <c r="H656" s="28"/>
      <c r="I656" s="28"/>
      <c r="J656" s="27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36"/>
      <c r="B657" s="39"/>
      <c r="C657" s="39"/>
      <c r="D657" s="39"/>
      <c r="E657" s="43"/>
      <c r="F657" s="43"/>
      <c r="G657" s="46"/>
      <c r="H657" s="46"/>
      <c r="I657" s="46"/>
      <c r="J657" s="43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15"/>
      <c r="B658" s="20"/>
      <c r="C658" s="20"/>
      <c r="D658" s="20"/>
      <c r="E658" s="27"/>
      <c r="F658" s="27"/>
      <c r="G658" s="28"/>
      <c r="H658" s="28"/>
      <c r="I658" s="28"/>
      <c r="J658" s="27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36"/>
      <c r="B659" s="39"/>
      <c r="C659" s="39"/>
      <c r="D659" s="39"/>
      <c r="E659" s="43"/>
      <c r="F659" s="43"/>
      <c r="G659" s="46"/>
      <c r="H659" s="46"/>
      <c r="I659" s="46"/>
      <c r="J659" s="43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15"/>
      <c r="B660" s="20"/>
      <c r="C660" s="20"/>
      <c r="D660" s="20"/>
      <c r="E660" s="27"/>
      <c r="F660" s="27"/>
      <c r="G660" s="28"/>
      <c r="H660" s="28"/>
      <c r="I660" s="28"/>
      <c r="J660" s="27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36"/>
      <c r="B661" s="39"/>
      <c r="C661" s="39"/>
      <c r="D661" s="39"/>
      <c r="E661" s="43"/>
      <c r="F661" s="43"/>
      <c r="G661" s="46"/>
      <c r="H661" s="46"/>
      <c r="I661" s="46"/>
      <c r="J661" s="43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15"/>
      <c r="B662" s="20"/>
      <c r="C662" s="20"/>
      <c r="D662" s="20"/>
      <c r="E662" s="27"/>
      <c r="F662" s="27"/>
      <c r="G662" s="28"/>
      <c r="H662" s="28"/>
      <c r="I662" s="28"/>
      <c r="J662" s="27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36"/>
      <c r="B663" s="39"/>
      <c r="C663" s="39"/>
      <c r="D663" s="39"/>
      <c r="E663" s="43"/>
      <c r="F663" s="43"/>
      <c r="G663" s="46"/>
      <c r="H663" s="46"/>
      <c r="I663" s="46"/>
      <c r="J663" s="43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15"/>
      <c r="B664" s="20"/>
      <c r="C664" s="20"/>
      <c r="D664" s="20"/>
      <c r="E664" s="27"/>
      <c r="F664" s="27"/>
      <c r="G664" s="28"/>
      <c r="H664" s="28"/>
      <c r="I664" s="28"/>
      <c r="J664" s="27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36"/>
      <c r="B665" s="39"/>
      <c r="C665" s="39"/>
      <c r="D665" s="39"/>
      <c r="E665" s="43"/>
      <c r="F665" s="43"/>
      <c r="G665" s="46"/>
      <c r="H665" s="46"/>
      <c r="I665" s="46"/>
      <c r="J665" s="43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15"/>
      <c r="B666" s="20"/>
      <c r="C666" s="20"/>
      <c r="D666" s="20"/>
      <c r="E666" s="27"/>
      <c r="F666" s="27"/>
      <c r="G666" s="28"/>
      <c r="H666" s="28"/>
      <c r="I666" s="28"/>
      <c r="J666" s="27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36"/>
      <c r="B667" s="39"/>
      <c r="C667" s="39"/>
      <c r="D667" s="39"/>
      <c r="E667" s="43"/>
      <c r="F667" s="43"/>
      <c r="G667" s="46"/>
      <c r="H667" s="46"/>
      <c r="I667" s="46"/>
      <c r="J667" s="43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15"/>
      <c r="B668" s="20"/>
      <c r="C668" s="20"/>
      <c r="D668" s="20"/>
      <c r="E668" s="27"/>
      <c r="F668" s="27"/>
      <c r="G668" s="28"/>
      <c r="H668" s="28"/>
      <c r="I668" s="28"/>
      <c r="J668" s="27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36"/>
      <c r="B669" s="39"/>
      <c r="C669" s="39"/>
      <c r="D669" s="39"/>
      <c r="E669" s="43"/>
      <c r="F669" s="43"/>
      <c r="G669" s="46"/>
      <c r="H669" s="46"/>
      <c r="I669" s="46"/>
      <c r="J669" s="43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15"/>
      <c r="B670" s="20"/>
      <c r="C670" s="20"/>
      <c r="D670" s="20"/>
      <c r="E670" s="27"/>
      <c r="F670" s="27"/>
      <c r="G670" s="28"/>
      <c r="H670" s="28"/>
      <c r="I670" s="28"/>
      <c r="J670" s="27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36"/>
      <c r="B671" s="39"/>
      <c r="C671" s="39"/>
      <c r="D671" s="39"/>
      <c r="E671" s="43"/>
      <c r="F671" s="43"/>
      <c r="G671" s="46"/>
      <c r="H671" s="46"/>
      <c r="I671" s="46"/>
      <c r="J671" s="43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15"/>
      <c r="B672" s="20"/>
      <c r="C672" s="20"/>
      <c r="D672" s="20"/>
      <c r="E672" s="27"/>
      <c r="F672" s="27"/>
      <c r="G672" s="28"/>
      <c r="H672" s="28"/>
      <c r="I672" s="28"/>
      <c r="J672" s="27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36"/>
      <c r="B673" s="39"/>
      <c r="C673" s="39"/>
      <c r="D673" s="39"/>
      <c r="E673" s="43"/>
      <c r="F673" s="43"/>
      <c r="G673" s="46"/>
      <c r="H673" s="46"/>
      <c r="I673" s="46"/>
      <c r="J673" s="43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15"/>
      <c r="B674" s="20"/>
      <c r="C674" s="20"/>
      <c r="D674" s="20"/>
      <c r="E674" s="27"/>
      <c r="F674" s="27"/>
      <c r="G674" s="28"/>
      <c r="H674" s="28"/>
      <c r="I674" s="28"/>
      <c r="J674" s="27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36"/>
      <c r="B675" s="39"/>
      <c r="C675" s="39"/>
      <c r="D675" s="39"/>
      <c r="E675" s="43"/>
      <c r="F675" s="43"/>
      <c r="G675" s="46"/>
      <c r="H675" s="46"/>
      <c r="I675" s="46"/>
      <c r="J675" s="43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15"/>
      <c r="B676" s="20"/>
      <c r="C676" s="20"/>
      <c r="D676" s="20"/>
      <c r="E676" s="27"/>
      <c r="F676" s="27"/>
      <c r="G676" s="28"/>
      <c r="H676" s="28"/>
      <c r="I676" s="28"/>
      <c r="J676" s="27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36"/>
      <c r="B677" s="39"/>
      <c r="C677" s="39"/>
      <c r="D677" s="39"/>
      <c r="E677" s="43"/>
      <c r="F677" s="43"/>
      <c r="G677" s="46"/>
      <c r="H677" s="46"/>
      <c r="I677" s="46"/>
      <c r="J677" s="43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15"/>
      <c r="B678" s="20"/>
      <c r="C678" s="20"/>
      <c r="D678" s="20"/>
      <c r="E678" s="27"/>
      <c r="F678" s="27"/>
      <c r="G678" s="28"/>
      <c r="H678" s="28"/>
      <c r="I678" s="28"/>
      <c r="J678" s="27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36"/>
      <c r="B679" s="39"/>
      <c r="C679" s="39"/>
      <c r="D679" s="39"/>
      <c r="E679" s="43"/>
      <c r="F679" s="43"/>
      <c r="G679" s="46"/>
      <c r="H679" s="46"/>
      <c r="I679" s="46"/>
      <c r="J679" s="43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15"/>
      <c r="B680" s="20"/>
      <c r="C680" s="20"/>
      <c r="D680" s="20"/>
      <c r="E680" s="27"/>
      <c r="F680" s="27"/>
      <c r="G680" s="28"/>
      <c r="H680" s="28"/>
      <c r="I680" s="28"/>
      <c r="J680" s="27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36"/>
      <c r="B681" s="39"/>
      <c r="C681" s="39"/>
      <c r="D681" s="39"/>
      <c r="E681" s="43"/>
      <c r="F681" s="43"/>
      <c r="G681" s="46"/>
      <c r="H681" s="46"/>
      <c r="I681" s="46"/>
      <c r="J681" s="43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15"/>
      <c r="B682" s="20"/>
      <c r="C682" s="20"/>
      <c r="D682" s="20"/>
      <c r="E682" s="27"/>
      <c r="F682" s="27"/>
      <c r="G682" s="28"/>
      <c r="H682" s="28"/>
      <c r="I682" s="28"/>
      <c r="J682" s="27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36"/>
      <c r="B683" s="39"/>
      <c r="C683" s="39"/>
      <c r="D683" s="39"/>
      <c r="E683" s="43"/>
      <c r="F683" s="43"/>
      <c r="G683" s="46"/>
      <c r="H683" s="46"/>
      <c r="I683" s="46"/>
      <c r="J683" s="43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15"/>
      <c r="B684" s="20"/>
      <c r="C684" s="20"/>
      <c r="D684" s="20"/>
      <c r="E684" s="27"/>
      <c r="F684" s="27"/>
      <c r="G684" s="28"/>
      <c r="H684" s="28"/>
      <c r="I684" s="28"/>
      <c r="J684" s="27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36"/>
      <c r="B685" s="39"/>
      <c r="C685" s="39"/>
      <c r="D685" s="39"/>
      <c r="E685" s="43"/>
      <c r="F685" s="43"/>
      <c r="G685" s="46"/>
      <c r="H685" s="46"/>
      <c r="I685" s="46"/>
      <c r="J685" s="43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15"/>
      <c r="B686" s="20"/>
      <c r="C686" s="20"/>
      <c r="D686" s="20"/>
      <c r="E686" s="27"/>
      <c r="F686" s="27"/>
      <c r="G686" s="28"/>
      <c r="H686" s="28"/>
      <c r="I686" s="28"/>
      <c r="J686" s="27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36"/>
      <c r="B687" s="39"/>
      <c r="C687" s="39"/>
      <c r="D687" s="39"/>
      <c r="E687" s="43"/>
      <c r="F687" s="43"/>
      <c r="G687" s="46"/>
      <c r="H687" s="46"/>
      <c r="I687" s="46"/>
      <c r="J687" s="43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15"/>
      <c r="B688" s="20"/>
      <c r="C688" s="20"/>
      <c r="D688" s="20"/>
      <c r="E688" s="27"/>
      <c r="F688" s="27"/>
      <c r="G688" s="28"/>
      <c r="H688" s="28"/>
      <c r="I688" s="28"/>
      <c r="J688" s="27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36"/>
      <c r="B689" s="39"/>
      <c r="C689" s="39"/>
      <c r="D689" s="39"/>
      <c r="E689" s="43"/>
      <c r="F689" s="43"/>
      <c r="G689" s="46"/>
      <c r="H689" s="46"/>
      <c r="I689" s="46"/>
      <c r="J689" s="43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15"/>
      <c r="B690" s="20"/>
      <c r="C690" s="20"/>
      <c r="D690" s="20"/>
      <c r="E690" s="27"/>
      <c r="F690" s="27"/>
      <c r="G690" s="28"/>
      <c r="H690" s="28"/>
      <c r="I690" s="28"/>
      <c r="J690" s="27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36"/>
      <c r="B691" s="39"/>
      <c r="C691" s="39"/>
      <c r="D691" s="39"/>
      <c r="E691" s="43"/>
      <c r="F691" s="43"/>
      <c r="G691" s="46"/>
      <c r="H691" s="46"/>
      <c r="I691" s="46"/>
      <c r="J691" s="43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15"/>
      <c r="B692" s="20"/>
      <c r="C692" s="20"/>
      <c r="D692" s="20"/>
      <c r="E692" s="27"/>
      <c r="F692" s="27"/>
      <c r="G692" s="28"/>
      <c r="H692" s="28"/>
      <c r="I692" s="28"/>
      <c r="J692" s="27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36"/>
      <c r="B693" s="39"/>
      <c r="C693" s="39"/>
      <c r="D693" s="39"/>
      <c r="E693" s="43"/>
      <c r="F693" s="43"/>
      <c r="G693" s="46"/>
      <c r="H693" s="46"/>
      <c r="I693" s="46"/>
      <c r="J693" s="43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15"/>
      <c r="B694" s="20"/>
      <c r="C694" s="20"/>
      <c r="D694" s="20"/>
      <c r="E694" s="27"/>
      <c r="F694" s="27"/>
      <c r="G694" s="28"/>
      <c r="H694" s="28"/>
      <c r="I694" s="28"/>
      <c r="J694" s="27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36"/>
      <c r="B695" s="39"/>
      <c r="C695" s="39"/>
      <c r="D695" s="39"/>
      <c r="E695" s="43"/>
      <c r="F695" s="43"/>
      <c r="G695" s="46"/>
      <c r="H695" s="46"/>
      <c r="I695" s="46"/>
      <c r="J695" s="43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15"/>
      <c r="B696" s="20"/>
      <c r="C696" s="20"/>
      <c r="D696" s="20"/>
      <c r="E696" s="27"/>
      <c r="F696" s="27"/>
      <c r="G696" s="28"/>
      <c r="H696" s="28"/>
      <c r="I696" s="28"/>
      <c r="J696" s="27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36"/>
      <c r="B697" s="39"/>
      <c r="C697" s="39"/>
      <c r="D697" s="39"/>
      <c r="E697" s="43"/>
      <c r="F697" s="43"/>
      <c r="G697" s="46"/>
      <c r="H697" s="46"/>
      <c r="I697" s="46"/>
      <c r="J697" s="43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15"/>
      <c r="B698" s="20"/>
      <c r="C698" s="20"/>
      <c r="D698" s="20"/>
      <c r="E698" s="27"/>
      <c r="F698" s="27"/>
      <c r="G698" s="28"/>
      <c r="H698" s="28"/>
      <c r="I698" s="28"/>
      <c r="J698" s="27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36"/>
      <c r="B699" s="39"/>
      <c r="C699" s="39"/>
      <c r="D699" s="39"/>
      <c r="E699" s="43"/>
      <c r="F699" s="43"/>
      <c r="G699" s="46"/>
      <c r="H699" s="46"/>
      <c r="I699" s="46"/>
      <c r="J699" s="43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15"/>
      <c r="B700" s="20"/>
      <c r="C700" s="20"/>
      <c r="D700" s="20"/>
      <c r="E700" s="27"/>
      <c r="F700" s="27"/>
      <c r="G700" s="28"/>
      <c r="H700" s="28"/>
      <c r="I700" s="28"/>
      <c r="J700" s="27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36"/>
      <c r="B701" s="39"/>
      <c r="C701" s="39"/>
      <c r="D701" s="39"/>
      <c r="E701" s="43"/>
      <c r="F701" s="43"/>
      <c r="G701" s="46"/>
      <c r="H701" s="46"/>
      <c r="I701" s="46"/>
      <c r="J701" s="43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15"/>
      <c r="B702" s="20"/>
      <c r="C702" s="20"/>
      <c r="D702" s="20"/>
      <c r="E702" s="27"/>
      <c r="F702" s="27"/>
      <c r="G702" s="28"/>
      <c r="H702" s="28"/>
      <c r="I702" s="28"/>
      <c r="J702" s="27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36"/>
      <c r="B703" s="39"/>
      <c r="C703" s="39"/>
      <c r="D703" s="39"/>
      <c r="E703" s="43"/>
      <c r="F703" s="43"/>
      <c r="G703" s="46"/>
      <c r="H703" s="46"/>
      <c r="I703" s="46"/>
      <c r="J703" s="43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15"/>
      <c r="B704" s="20"/>
      <c r="C704" s="20"/>
      <c r="D704" s="20"/>
      <c r="E704" s="27"/>
      <c r="F704" s="27"/>
      <c r="G704" s="28"/>
      <c r="H704" s="28"/>
      <c r="I704" s="28"/>
      <c r="J704" s="27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36"/>
      <c r="B705" s="39"/>
      <c r="C705" s="39"/>
      <c r="D705" s="39"/>
      <c r="E705" s="43"/>
      <c r="F705" s="43"/>
      <c r="G705" s="46"/>
      <c r="H705" s="46"/>
      <c r="I705" s="46"/>
      <c r="J705" s="43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15"/>
      <c r="B706" s="20"/>
      <c r="C706" s="20"/>
      <c r="D706" s="20"/>
      <c r="E706" s="27"/>
      <c r="F706" s="27"/>
      <c r="G706" s="28"/>
      <c r="H706" s="28"/>
      <c r="I706" s="28"/>
      <c r="J706" s="27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36"/>
      <c r="B707" s="39"/>
      <c r="C707" s="39"/>
      <c r="D707" s="39"/>
      <c r="E707" s="43"/>
      <c r="F707" s="43"/>
      <c r="G707" s="46"/>
      <c r="H707" s="46"/>
      <c r="I707" s="46"/>
      <c r="J707" s="43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15"/>
      <c r="B708" s="20"/>
      <c r="C708" s="20"/>
      <c r="D708" s="20"/>
      <c r="E708" s="27"/>
      <c r="F708" s="27"/>
      <c r="G708" s="28"/>
      <c r="H708" s="28"/>
      <c r="I708" s="28"/>
      <c r="J708" s="27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36"/>
      <c r="B709" s="39"/>
      <c r="C709" s="39"/>
      <c r="D709" s="39"/>
      <c r="E709" s="43"/>
      <c r="F709" s="43"/>
      <c r="G709" s="46"/>
      <c r="H709" s="46"/>
      <c r="I709" s="46"/>
      <c r="J709" s="43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15"/>
      <c r="B710" s="20"/>
      <c r="C710" s="20"/>
      <c r="D710" s="20"/>
      <c r="E710" s="27"/>
      <c r="F710" s="27"/>
      <c r="G710" s="28"/>
      <c r="H710" s="28"/>
      <c r="I710" s="28"/>
      <c r="J710" s="27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36"/>
      <c r="B711" s="39"/>
      <c r="C711" s="39"/>
      <c r="D711" s="39"/>
      <c r="E711" s="43"/>
      <c r="F711" s="43"/>
      <c r="G711" s="46"/>
      <c r="H711" s="46"/>
      <c r="I711" s="46"/>
      <c r="J711" s="43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15"/>
      <c r="B712" s="20"/>
      <c r="C712" s="20"/>
      <c r="D712" s="20"/>
      <c r="E712" s="27"/>
      <c r="F712" s="27"/>
      <c r="G712" s="28"/>
      <c r="H712" s="28"/>
      <c r="I712" s="28"/>
      <c r="J712" s="27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36"/>
      <c r="B713" s="39"/>
      <c r="C713" s="39"/>
      <c r="D713" s="39"/>
      <c r="E713" s="43"/>
      <c r="F713" s="43"/>
      <c r="G713" s="46"/>
      <c r="H713" s="46"/>
      <c r="I713" s="46"/>
      <c r="J713" s="43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15"/>
      <c r="B714" s="20"/>
      <c r="C714" s="20"/>
      <c r="D714" s="20"/>
      <c r="E714" s="27"/>
      <c r="F714" s="27"/>
      <c r="G714" s="28"/>
      <c r="H714" s="28"/>
      <c r="I714" s="28"/>
      <c r="J714" s="27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36"/>
      <c r="B715" s="39"/>
      <c r="C715" s="39"/>
      <c r="D715" s="39"/>
      <c r="E715" s="43"/>
      <c r="F715" s="43"/>
      <c r="G715" s="46"/>
      <c r="H715" s="46"/>
      <c r="I715" s="46"/>
      <c r="J715" s="43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15"/>
      <c r="B716" s="20"/>
      <c r="C716" s="20"/>
      <c r="D716" s="20"/>
      <c r="E716" s="27"/>
      <c r="F716" s="27"/>
      <c r="G716" s="28"/>
      <c r="H716" s="28"/>
      <c r="I716" s="28"/>
      <c r="J716" s="27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36"/>
      <c r="B717" s="39"/>
      <c r="C717" s="39"/>
      <c r="D717" s="39"/>
      <c r="E717" s="43"/>
      <c r="F717" s="43"/>
      <c r="G717" s="46"/>
      <c r="H717" s="46"/>
      <c r="I717" s="46"/>
      <c r="J717" s="43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15"/>
      <c r="B718" s="20"/>
      <c r="C718" s="20"/>
      <c r="D718" s="20"/>
      <c r="E718" s="27"/>
      <c r="F718" s="27"/>
      <c r="G718" s="28"/>
      <c r="H718" s="28"/>
      <c r="I718" s="28"/>
      <c r="J718" s="27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36"/>
      <c r="B719" s="39"/>
      <c r="C719" s="39"/>
      <c r="D719" s="39"/>
      <c r="E719" s="43"/>
      <c r="F719" s="43"/>
      <c r="G719" s="46"/>
      <c r="H719" s="46"/>
      <c r="I719" s="46"/>
      <c r="J719" s="43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15"/>
      <c r="B720" s="20"/>
      <c r="C720" s="20"/>
      <c r="D720" s="20"/>
      <c r="E720" s="27"/>
      <c r="F720" s="27"/>
      <c r="G720" s="28"/>
      <c r="H720" s="28"/>
      <c r="I720" s="28"/>
      <c r="J720" s="27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36"/>
      <c r="B721" s="39"/>
      <c r="C721" s="39"/>
      <c r="D721" s="39"/>
      <c r="E721" s="43"/>
      <c r="F721" s="43"/>
      <c r="G721" s="46"/>
      <c r="H721" s="46"/>
      <c r="I721" s="46"/>
      <c r="J721" s="43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15"/>
      <c r="B722" s="20"/>
      <c r="C722" s="20"/>
      <c r="D722" s="20"/>
      <c r="E722" s="27"/>
      <c r="F722" s="27"/>
      <c r="G722" s="28"/>
      <c r="H722" s="28"/>
      <c r="I722" s="28"/>
      <c r="J722" s="27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36"/>
      <c r="B723" s="39"/>
      <c r="C723" s="39"/>
      <c r="D723" s="39"/>
      <c r="E723" s="43"/>
      <c r="F723" s="43"/>
      <c r="G723" s="46"/>
      <c r="H723" s="46"/>
      <c r="I723" s="46"/>
      <c r="J723" s="43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15"/>
      <c r="B724" s="20"/>
      <c r="C724" s="20"/>
      <c r="D724" s="20"/>
      <c r="E724" s="27"/>
      <c r="F724" s="27"/>
      <c r="G724" s="28"/>
      <c r="H724" s="28"/>
      <c r="I724" s="28"/>
      <c r="J724" s="27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36"/>
      <c r="B725" s="39"/>
      <c r="C725" s="39"/>
      <c r="D725" s="39"/>
      <c r="E725" s="43"/>
      <c r="F725" s="43"/>
      <c r="G725" s="46"/>
      <c r="H725" s="46"/>
      <c r="I725" s="46"/>
      <c r="J725" s="43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15"/>
      <c r="B726" s="20"/>
      <c r="C726" s="20"/>
      <c r="D726" s="20"/>
      <c r="E726" s="27"/>
      <c r="F726" s="27"/>
      <c r="G726" s="28"/>
      <c r="H726" s="28"/>
      <c r="I726" s="28"/>
      <c r="J726" s="27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36"/>
      <c r="B727" s="39"/>
      <c r="C727" s="39"/>
      <c r="D727" s="39"/>
      <c r="E727" s="43"/>
      <c r="F727" s="43"/>
      <c r="G727" s="46"/>
      <c r="H727" s="46"/>
      <c r="I727" s="46"/>
      <c r="J727" s="43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15"/>
      <c r="B728" s="20"/>
      <c r="C728" s="20"/>
      <c r="D728" s="20"/>
      <c r="E728" s="27"/>
      <c r="F728" s="27"/>
      <c r="G728" s="28"/>
      <c r="H728" s="28"/>
      <c r="I728" s="28"/>
      <c r="J728" s="27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36"/>
      <c r="B729" s="39"/>
      <c r="C729" s="39"/>
      <c r="D729" s="39"/>
      <c r="E729" s="43"/>
      <c r="F729" s="43"/>
      <c r="G729" s="46"/>
      <c r="H729" s="46"/>
      <c r="I729" s="46"/>
      <c r="J729" s="43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15"/>
      <c r="B730" s="20"/>
      <c r="C730" s="20"/>
      <c r="D730" s="20"/>
      <c r="E730" s="27"/>
      <c r="F730" s="27"/>
      <c r="G730" s="28"/>
      <c r="H730" s="28"/>
      <c r="I730" s="28"/>
      <c r="J730" s="27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36"/>
      <c r="B731" s="39"/>
      <c r="C731" s="39"/>
      <c r="D731" s="39"/>
      <c r="E731" s="43"/>
      <c r="F731" s="43"/>
      <c r="G731" s="46"/>
      <c r="H731" s="46"/>
      <c r="I731" s="46"/>
      <c r="J731" s="43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15"/>
      <c r="B732" s="20"/>
      <c r="C732" s="20"/>
      <c r="D732" s="20"/>
      <c r="E732" s="27"/>
      <c r="F732" s="27"/>
      <c r="G732" s="28"/>
      <c r="H732" s="28"/>
      <c r="I732" s="28"/>
      <c r="J732" s="27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36"/>
      <c r="B733" s="39"/>
      <c r="C733" s="39"/>
      <c r="D733" s="39"/>
      <c r="E733" s="43"/>
      <c r="F733" s="43"/>
      <c r="G733" s="46"/>
      <c r="H733" s="46"/>
      <c r="I733" s="46"/>
      <c r="J733" s="43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15"/>
      <c r="B734" s="20"/>
      <c r="C734" s="20"/>
      <c r="D734" s="20"/>
      <c r="E734" s="27"/>
      <c r="F734" s="27"/>
      <c r="G734" s="28"/>
      <c r="H734" s="28"/>
      <c r="I734" s="28"/>
      <c r="J734" s="27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36"/>
      <c r="B735" s="39"/>
      <c r="C735" s="39"/>
      <c r="D735" s="39"/>
      <c r="E735" s="43"/>
      <c r="F735" s="43"/>
      <c r="G735" s="46"/>
      <c r="H735" s="46"/>
      <c r="I735" s="46"/>
      <c r="J735" s="43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15"/>
      <c r="B736" s="20"/>
      <c r="C736" s="20"/>
      <c r="D736" s="20"/>
      <c r="E736" s="27"/>
      <c r="F736" s="27"/>
      <c r="G736" s="28"/>
      <c r="H736" s="28"/>
      <c r="I736" s="28"/>
      <c r="J736" s="27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36"/>
      <c r="B737" s="39"/>
      <c r="C737" s="39"/>
      <c r="D737" s="39"/>
      <c r="E737" s="43"/>
      <c r="F737" s="43"/>
      <c r="G737" s="46"/>
      <c r="H737" s="46"/>
      <c r="I737" s="46"/>
      <c r="J737" s="43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15"/>
      <c r="B738" s="20"/>
      <c r="C738" s="20"/>
      <c r="D738" s="20"/>
      <c r="E738" s="27"/>
      <c r="F738" s="27"/>
      <c r="G738" s="28"/>
      <c r="H738" s="28"/>
      <c r="I738" s="28"/>
      <c r="J738" s="27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36"/>
      <c r="B739" s="39"/>
      <c r="C739" s="39"/>
      <c r="D739" s="39"/>
      <c r="E739" s="43"/>
      <c r="F739" s="43"/>
      <c r="G739" s="46"/>
      <c r="H739" s="46"/>
      <c r="I739" s="46"/>
      <c r="J739" s="43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15"/>
      <c r="B740" s="20"/>
      <c r="C740" s="20"/>
      <c r="D740" s="20"/>
      <c r="E740" s="27"/>
      <c r="F740" s="27"/>
      <c r="G740" s="28"/>
      <c r="H740" s="28"/>
      <c r="I740" s="28"/>
      <c r="J740" s="27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36"/>
      <c r="B741" s="39"/>
      <c r="C741" s="39"/>
      <c r="D741" s="39"/>
      <c r="E741" s="43"/>
      <c r="F741" s="43"/>
      <c r="G741" s="46"/>
      <c r="H741" s="46"/>
      <c r="I741" s="46"/>
      <c r="J741" s="43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15"/>
      <c r="B742" s="20"/>
      <c r="C742" s="20"/>
      <c r="D742" s="20"/>
      <c r="E742" s="27"/>
      <c r="F742" s="27"/>
      <c r="G742" s="28"/>
      <c r="H742" s="28"/>
      <c r="I742" s="28"/>
      <c r="J742" s="27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36"/>
      <c r="B743" s="39"/>
      <c r="C743" s="39"/>
      <c r="D743" s="39"/>
      <c r="E743" s="43"/>
      <c r="F743" s="43"/>
      <c r="G743" s="46"/>
      <c r="H743" s="46"/>
      <c r="I743" s="46"/>
      <c r="J743" s="43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15"/>
      <c r="B744" s="20"/>
      <c r="C744" s="20"/>
      <c r="D744" s="20"/>
      <c r="E744" s="27"/>
      <c r="F744" s="27"/>
      <c r="G744" s="28"/>
      <c r="H744" s="28"/>
      <c r="I744" s="28"/>
      <c r="J744" s="27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36"/>
      <c r="B745" s="39"/>
      <c r="C745" s="39"/>
      <c r="D745" s="39"/>
      <c r="E745" s="43"/>
      <c r="F745" s="43"/>
      <c r="G745" s="46"/>
      <c r="H745" s="46"/>
      <c r="I745" s="46"/>
      <c r="J745" s="43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15"/>
      <c r="B746" s="20"/>
      <c r="C746" s="20"/>
      <c r="D746" s="20"/>
      <c r="E746" s="27"/>
      <c r="F746" s="27"/>
      <c r="G746" s="28"/>
      <c r="H746" s="28"/>
      <c r="I746" s="28"/>
      <c r="J746" s="27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36"/>
      <c r="B747" s="39"/>
      <c r="C747" s="39"/>
      <c r="D747" s="39"/>
      <c r="E747" s="43"/>
      <c r="F747" s="43"/>
      <c r="G747" s="46"/>
      <c r="H747" s="46"/>
      <c r="I747" s="46"/>
      <c r="J747" s="43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15"/>
      <c r="B748" s="20"/>
      <c r="C748" s="20"/>
      <c r="D748" s="20"/>
      <c r="E748" s="27"/>
      <c r="F748" s="27"/>
      <c r="G748" s="28"/>
      <c r="H748" s="28"/>
      <c r="I748" s="28"/>
      <c r="J748" s="27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36"/>
      <c r="B749" s="39"/>
      <c r="C749" s="39"/>
      <c r="D749" s="39"/>
      <c r="E749" s="43"/>
      <c r="F749" s="43"/>
      <c r="G749" s="46"/>
      <c r="H749" s="46"/>
      <c r="I749" s="46"/>
      <c r="J749" s="43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15"/>
      <c r="B750" s="20"/>
      <c r="C750" s="20"/>
      <c r="D750" s="20"/>
      <c r="E750" s="27"/>
      <c r="F750" s="27"/>
      <c r="G750" s="28"/>
      <c r="H750" s="28"/>
      <c r="I750" s="28"/>
      <c r="J750" s="27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36"/>
      <c r="B751" s="39"/>
      <c r="C751" s="39"/>
      <c r="D751" s="39"/>
      <c r="E751" s="43"/>
      <c r="F751" s="43"/>
      <c r="G751" s="46"/>
      <c r="H751" s="46"/>
      <c r="I751" s="46"/>
      <c r="J751" s="43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15"/>
      <c r="B752" s="20"/>
      <c r="C752" s="20"/>
      <c r="D752" s="20"/>
      <c r="E752" s="27"/>
      <c r="F752" s="27"/>
      <c r="G752" s="28"/>
      <c r="H752" s="28"/>
      <c r="I752" s="28"/>
      <c r="J752" s="27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36"/>
      <c r="B753" s="39"/>
      <c r="C753" s="39"/>
      <c r="D753" s="39"/>
      <c r="E753" s="43"/>
      <c r="F753" s="43"/>
      <c r="G753" s="46"/>
      <c r="H753" s="46"/>
      <c r="I753" s="46"/>
      <c r="J753" s="43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15"/>
      <c r="B754" s="20"/>
      <c r="C754" s="20"/>
      <c r="D754" s="20"/>
      <c r="E754" s="27"/>
      <c r="F754" s="27"/>
      <c r="G754" s="28"/>
      <c r="H754" s="28"/>
      <c r="I754" s="28"/>
      <c r="J754" s="27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36"/>
      <c r="B755" s="39"/>
      <c r="C755" s="39"/>
      <c r="D755" s="39"/>
      <c r="E755" s="43"/>
      <c r="F755" s="43"/>
      <c r="G755" s="46"/>
      <c r="H755" s="46"/>
      <c r="I755" s="46"/>
      <c r="J755" s="43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15"/>
      <c r="B756" s="20"/>
      <c r="C756" s="20"/>
      <c r="D756" s="20"/>
      <c r="E756" s="27"/>
      <c r="F756" s="27"/>
      <c r="G756" s="28"/>
      <c r="H756" s="28"/>
      <c r="I756" s="28"/>
      <c r="J756" s="27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36"/>
      <c r="B757" s="39"/>
      <c r="C757" s="39"/>
      <c r="D757" s="39"/>
      <c r="E757" s="43"/>
      <c r="F757" s="43"/>
      <c r="G757" s="46"/>
      <c r="H757" s="46"/>
      <c r="I757" s="46"/>
      <c r="J757" s="43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15"/>
      <c r="B758" s="20"/>
      <c r="C758" s="20"/>
      <c r="D758" s="20"/>
      <c r="E758" s="27"/>
      <c r="F758" s="27"/>
      <c r="G758" s="28"/>
      <c r="H758" s="28"/>
      <c r="I758" s="28"/>
      <c r="J758" s="27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36"/>
      <c r="B759" s="39"/>
      <c r="C759" s="39"/>
      <c r="D759" s="39"/>
      <c r="E759" s="43"/>
      <c r="F759" s="43"/>
      <c r="G759" s="46"/>
      <c r="H759" s="46"/>
      <c r="I759" s="46"/>
      <c r="J759" s="43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15"/>
      <c r="B760" s="20"/>
      <c r="C760" s="20"/>
      <c r="D760" s="20"/>
      <c r="E760" s="27"/>
      <c r="F760" s="27"/>
      <c r="G760" s="28"/>
      <c r="H760" s="28"/>
      <c r="I760" s="28"/>
      <c r="J760" s="27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36"/>
      <c r="B761" s="39"/>
      <c r="C761" s="39"/>
      <c r="D761" s="39"/>
      <c r="E761" s="43"/>
      <c r="F761" s="43"/>
      <c r="G761" s="46"/>
      <c r="H761" s="46"/>
      <c r="I761" s="46"/>
      <c r="J761" s="43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15"/>
      <c r="B762" s="20"/>
      <c r="C762" s="20"/>
      <c r="D762" s="20"/>
      <c r="E762" s="27"/>
      <c r="F762" s="27"/>
      <c r="G762" s="28"/>
      <c r="H762" s="28"/>
      <c r="I762" s="28"/>
      <c r="J762" s="27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36"/>
      <c r="B763" s="39"/>
      <c r="C763" s="39"/>
      <c r="D763" s="39"/>
      <c r="E763" s="43"/>
      <c r="F763" s="43"/>
      <c r="G763" s="46"/>
      <c r="H763" s="46"/>
      <c r="I763" s="46"/>
      <c r="J763" s="43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15"/>
      <c r="B764" s="20"/>
      <c r="C764" s="20"/>
      <c r="D764" s="20"/>
      <c r="E764" s="27"/>
      <c r="F764" s="27"/>
      <c r="G764" s="28"/>
      <c r="H764" s="28"/>
      <c r="I764" s="28"/>
      <c r="J764" s="27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36"/>
      <c r="B765" s="39"/>
      <c r="C765" s="39"/>
      <c r="D765" s="39"/>
      <c r="E765" s="43"/>
      <c r="F765" s="43"/>
      <c r="G765" s="46"/>
      <c r="H765" s="46"/>
      <c r="I765" s="46"/>
      <c r="J765" s="43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15"/>
      <c r="B766" s="20"/>
      <c r="C766" s="20"/>
      <c r="D766" s="20"/>
      <c r="E766" s="27"/>
      <c r="F766" s="27"/>
      <c r="G766" s="28"/>
      <c r="H766" s="28"/>
      <c r="I766" s="28"/>
      <c r="J766" s="27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36"/>
      <c r="B767" s="39"/>
      <c r="C767" s="39"/>
      <c r="D767" s="39"/>
      <c r="E767" s="43"/>
      <c r="F767" s="43"/>
      <c r="G767" s="46"/>
      <c r="H767" s="46"/>
      <c r="I767" s="46"/>
      <c r="J767" s="43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15"/>
      <c r="B768" s="20"/>
      <c r="C768" s="20"/>
      <c r="D768" s="20"/>
      <c r="E768" s="27"/>
      <c r="F768" s="27"/>
      <c r="G768" s="28"/>
      <c r="H768" s="28"/>
      <c r="I768" s="28"/>
      <c r="J768" s="27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36"/>
      <c r="B769" s="39"/>
      <c r="C769" s="39"/>
      <c r="D769" s="39"/>
      <c r="E769" s="43"/>
      <c r="F769" s="43"/>
      <c r="G769" s="46"/>
      <c r="H769" s="46"/>
      <c r="I769" s="46"/>
      <c r="J769" s="43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15"/>
      <c r="B770" s="20"/>
      <c r="C770" s="20"/>
      <c r="D770" s="20"/>
      <c r="E770" s="27"/>
      <c r="F770" s="27"/>
      <c r="G770" s="28"/>
      <c r="H770" s="28"/>
      <c r="I770" s="28"/>
      <c r="J770" s="27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36"/>
      <c r="B771" s="39"/>
      <c r="C771" s="39"/>
      <c r="D771" s="39"/>
      <c r="E771" s="43"/>
      <c r="F771" s="43"/>
      <c r="G771" s="46"/>
      <c r="H771" s="46"/>
      <c r="I771" s="46"/>
      <c r="J771" s="43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15"/>
      <c r="B772" s="20"/>
      <c r="C772" s="20"/>
      <c r="D772" s="20"/>
      <c r="E772" s="27"/>
      <c r="F772" s="27"/>
      <c r="G772" s="28"/>
      <c r="H772" s="28"/>
      <c r="I772" s="28"/>
      <c r="J772" s="27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36"/>
      <c r="B773" s="39"/>
      <c r="C773" s="39"/>
      <c r="D773" s="39"/>
      <c r="E773" s="43"/>
      <c r="F773" s="43"/>
      <c r="G773" s="46"/>
      <c r="H773" s="46"/>
      <c r="I773" s="46"/>
      <c r="J773" s="43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15"/>
      <c r="B774" s="20"/>
      <c r="C774" s="20"/>
      <c r="D774" s="20"/>
      <c r="E774" s="27"/>
      <c r="F774" s="27"/>
      <c r="G774" s="28"/>
      <c r="H774" s="28"/>
      <c r="I774" s="28"/>
      <c r="J774" s="27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36"/>
      <c r="B775" s="39"/>
      <c r="C775" s="39"/>
      <c r="D775" s="39"/>
      <c r="E775" s="43"/>
      <c r="F775" s="43"/>
      <c r="G775" s="46"/>
      <c r="H775" s="46"/>
      <c r="I775" s="46"/>
      <c r="J775" s="43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15"/>
      <c r="B776" s="20"/>
      <c r="C776" s="20"/>
      <c r="D776" s="20"/>
      <c r="E776" s="27"/>
      <c r="F776" s="27"/>
      <c r="G776" s="28"/>
      <c r="H776" s="28"/>
      <c r="I776" s="28"/>
      <c r="J776" s="27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36"/>
      <c r="B777" s="39"/>
      <c r="C777" s="39"/>
      <c r="D777" s="39"/>
      <c r="E777" s="43"/>
      <c r="F777" s="43"/>
      <c r="G777" s="46"/>
      <c r="H777" s="46"/>
      <c r="I777" s="46"/>
      <c r="J777" s="43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15"/>
      <c r="B778" s="20"/>
      <c r="C778" s="20"/>
      <c r="D778" s="20"/>
      <c r="E778" s="27"/>
      <c r="F778" s="27"/>
      <c r="G778" s="28"/>
      <c r="H778" s="28"/>
      <c r="I778" s="28"/>
      <c r="J778" s="27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36"/>
      <c r="B779" s="39"/>
      <c r="C779" s="39"/>
      <c r="D779" s="39"/>
      <c r="E779" s="43"/>
      <c r="F779" s="43"/>
      <c r="G779" s="46"/>
      <c r="H779" s="46"/>
      <c r="I779" s="46"/>
      <c r="J779" s="43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15"/>
      <c r="B780" s="20"/>
      <c r="C780" s="20"/>
      <c r="D780" s="20"/>
      <c r="E780" s="27"/>
      <c r="F780" s="27"/>
      <c r="G780" s="28"/>
      <c r="H780" s="28"/>
      <c r="I780" s="28"/>
      <c r="J780" s="27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36"/>
      <c r="B781" s="39"/>
      <c r="C781" s="39"/>
      <c r="D781" s="39"/>
      <c r="E781" s="43"/>
      <c r="F781" s="43"/>
      <c r="G781" s="46"/>
      <c r="H781" s="46"/>
      <c r="I781" s="46"/>
      <c r="J781" s="43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15"/>
      <c r="B782" s="20"/>
      <c r="C782" s="20"/>
      <c r="D782" s="20"/>
      <c r="E782" s="27"/>
      <c r="F782" s="27"/>
      <c r="G782" s="28"/>
      <c r="H782" s="28"/>
      <c r="I782" s="28"/>
      <c r="J782" s="27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36"/>
      <c r="B783" s="39"/>
      <c r="C783" s="39"/>
      <c r="D783" s="39"/>
      <c r="E783" s="43"/>
      <c r="F783" s="43"/>
      <c r="G783" s="46"/>
      <c r="H783" s="46"/>
      <c r="I783" s="46"/>
      <c r="J783" s="43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15"/>
      <c r="B784" s="20"/>
      <c r="C784" s="20"/>
      <c r="D784" s="20"/>
      <c r="E784" s="27"/>
      <c r="F784" s="27"/>
      <c r="G784" s="28"/>
      <c r="H784" s="28"/>
      <c r="I784" s="28"/>
      <c r="J784" s="27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36"/>
      <c r="B785" s="39"/>
      <c r="C785" s="39"/>
      <c r="D785" s="39"/>
      <c r="E785" s="43"/>
      <c r="F785" s="43"/>
      <c r="G785" s="46"/>
      <c r="H785" s="46"/>
      <c r="I785" s="46"/>
      <c r="J785" s="43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15"/>
      <c r="B786" s="20"/>
      <c r="C786" s="20"/>
      <c r="D786" s="20"/>
      <c r="E786" s="27"/>
      <c r="F786" s="27"/>
      <c r="G786" s="28"/>
      <c r="H786" s="28"/>
      <c r="I786" s="28"/>
      <c r="J786" s="27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36"/>
      <c r="B787" s="39"/>
      <c r="C787" s="39"/>
      <c r="D787" s="39"/>
      <c r="E787" s="43"/>
      <c r="F787" s="43"/>
      <c r="G787" s="46"/>
      <c r="H787" s="46"/>
      <c r="I787" s="46"/>
      <c r="J787" s="43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15"/>
      <c r="B788" s="20"/>
      <c r="C788" s="20"/>
      <c r="D788" s="20"/>
      <c r="E788" s="27"/>
      <c r="F788" s="27"/>
      <c r="G788" s="28"/>
      <c r="H788" s="28"/>
      <c r="I788" s="28"/>
      <c r="J788" s="27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36"/>
      <c r="B789" s="39"/>
      <c r="C789" s="39"/>
      <c r="D789" s="39"/>
      <c r="E789" s="43"/>
      <c r="F789" s="43"/>
      <c r="G789" s="46"/>
      <c r="H789" s="46"/>
      <c r="I789" s="46"/>
      <c r="J789" s="43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15"/>
      <c r="B790" s="20"/>
      <c r="C790" s="20"/>
      <c r="D790" s="20"/>
      <c r="E790" s="27"/>
      <c r="F790" s="27"/>
      <c r="G790" s="28"/>
      <c r="H790" s="28"/>
      <c r="I790" s="28"/>
      <c r="J790" s="27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36"/>
      <c r="B791" s="39"/>
      <c r="C791" s="39"/>
      <c r="D791" s="39"/>
      <c r="E791" s="43"/>
      <c r="F791" s="43"/>
      <c r="G791" s="46"/>
      <c r="H791" s="46"/>
      <c r="I791" s="46"/>
      <c r="J791" s="43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15"/>
      <c r="B792" s="20"/>
      <c r="C792" s="20"/>
      <c r="D792" s="20"/>
      <c r="E792" s="27"/>
      <c r="F792" s="27"/>
      <c r="G792" s="28"/>
      <c r="H792" s="28"/>
      <c r="I792" s="28"/>
      <c r="J792" s="27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36"/>
      <c r="B793" s="39"/>
      <c r="C793" s="39"/>
      <c r="D793" s="39"/>
      <c r="E793" s="43"/>
      <c r="F793" s="43"/>
      <c r="G793" s="46"/>
      <c r="H793" s="46"/>
      <c r="I793" s="46"/>
      <c r="J793" s="43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15"/>
      <c r="B794" s="20"/>
      <c r="C794" s="20"/>
      <c r="D794" s="20"/>
      <c r="E794" s="27"/>
      <c r="F794" s="27"/>
      <c r="G794" s="28"/>
      <c r="H794" s="28"/>
      <c r="I794" s="28"/>
      <c r="J794" s="27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36"/>
      <c r="B795" s="39"/>
      <c r="C795" s="39"/>
      <c r="D795" s="39"/>
      <c r="E795" s="43"/>
      <c r="F795" s="43"/>
      <c r="G795" s="46"/>
      <c r="H795" s="46"/>
      <c r="I795" s="46"/>
      <c r="J795" s="43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15"/>
      <c r="B796" s="20"/>
      <c r="C796" s="20"/>
      <c r="D796" s="20"/>
      <c r="E796" s="27"/>
      <c r="F796" s="27"/>
      <c r="G796" s="28"/>
      <c r="H796" s="28"/>
      <c r="I796" s="28"/>
      <c r="J796" s="27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36"/>
      <c r="B797" s="39"/>
      <c r="C797" s="39"/>
      <c r="D797" s="39"/>
      <c r="E797" s="43"/>
      <c r="F797" s="43"/>
      <c r="G797" s="46"/>
      <c r="H797" s="46"/>
      <c r="I797" s="46"/>
      <c r="J797" s="43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15"/>
      <c r="B798" s="20"/>
      <c r="C798" s="20"/>
      <c r="D798" s="20"/>
      <c r="E798" s="27"/>
      <c r="F798" s="27"/>
      <c r="G798" s="28"/>
      <c r="H798" s="28"/>
      <c r="I798" s="28"/>
      <c r="J798" s="27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36"/>
      <c r="B799" s="39"/>
      <c r="C799" s="39"/>
      <c r="D799" s="39"/>
      <c r="E799" s="43"/>
      <c r="F799" s="43"/>
      <c r="G799" s="46"/>
      <c r="H799" s="46"/>
      <c r="I799" s="46"/>
      <c r="J799" s="43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15"/>
      <c r="B800" s="20"/>
      <c r="C800" s="20"/>
      <c r="D800" s="20"/>
      <c r="E800" s="27"/>
      <c r="F800" s="27"/>
      <c r="G800" s="28"/>
      <c r="H800" s="28"/>
      <c r="I800" s="28"/>
      <c r="J800" s="27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36"/>
      <c r="B801" s="39"/>
      <c r="C801" s="39"/>
      <c r="D801" s="39"/>
      <c r="E801" s="43"/>
      <c r="F801" s="43"/>
      <c r="G801" s="46"/>
      <c r="H801" s="46"/>
      <c r="I801" s="46"/>
      <c r="J801" s="43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15"/>
      <c r="B802" s="20"/>
      <c r="C802" s="20"/>
      <c r="D802" s="20"/>
      <c r="E802" s="27"/>
      <c r="F802" s="27"/>
      <c r="G802" s="28"/>
      <c r="H802" s="28"/>
      <c r="I802" s="28"/>
      <c r="J802" s="27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36"/>
      <c r="B803" s="39"/>
      <c r="C803" s="39"/>
      <c r="D803" s="39"/>
      <c r="E803" s="43"/>
      <c r="F803" s="43"/>
      <c r="G803" s="46"/>
      <c r="H803" s="46"/>
      <c r="I803" s="46"/>
      <c r="J803" s="43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15"/>
      <c r="B804" s="20"/>
      <c r="C804" s="20"/>
      <c r="D804" s="20"/>
      <c r="E804" s="27"/>
      <c r="F804" s="27"/>
      <c r="G804" s="28"/>
      <c r="H804" s="28"/>
      <c r="I804" s="28"/>
      <c r="J804" s="27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36"/>
      <c r="B805" s="39"/>
      <c r="C805" s="39"/>
      <c r="D805" s="39"/>
      <c r="E805" s="43"/>
      <c r="F805" s="43"/>
      <c r="G805" s="46"/>
      <c r="H805" s="46"/>
      <c r="I805" s="46"/>
      <c r="J805" s="43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15"/>
      <c r="B806" s="20"/>
      <c r="C806" s="20"/>
      <c r="D806" s="20"/>
      <c r="E806" s="27"/>
      <c r="F806" s="27"/>
      <c r="G806" s="28"/>
      <c r="H806" s="28"/>
      <c r="I806" s="28"/>
      <c r="J806" s="27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36"/>
      <c r="B807" s="39"/>
      <c r="C807" s="39"/>
      <c r="D807" s="39"/>
      <c r="E807" s="43"/>
      <c r="F807" s="43"/>
      <c r="G807" s="46"/>
      <c r="H807" s="46"/>
      <c r="I807" s="46"/>
      <c r="J807" s="43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15"/>
      <c r="B808" s="20"/>
      <c r="C808" s="20"/>
      <c r="D808" s="20"/>
      <c r="E808" s="27"/>
      <c r="F808" s="27"/>
      <c r="G808" s="28"/>
      <c r="H808" s="28"/>
      <c r="I808" s="28"/>
      <c r="J808" s="27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36"/>
      <c r="B809" s="39"/>
      <c r="C809" s="39"/>
      <c r="D809" s="39"/>
      <c r="E809" s="43"/>
      <c r="F809" s="43"/>
      <c r="G809" s="46"/>
      <c r="H809" s="46"/>
      <c r="I809" s="46"/>
      <c r="J809" s="43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15"/>
      <c r="B810" s="20"/>
      <c r="C810" s="20"/>
      <c r="D810" s="20"/>
      <c r="E810" s="27"/>
      <c r="F810" s="27"/>
      <c r="G810" s="28"/>
      <c r="H810" s="28"/>
      <c r="I810" s="28"/>
      <c r="J810" s="27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36"/>
      <c r="B811" s="39"/>
      <c r="C811" s="39"/>
      <c r="D811" s="39"/>
      <c r="E811" s="43"/>
      <c r="F811" s="43"/>
      <c r="G811" s="46"/>
      <c r="H811" s="46"/>
      <c r="I811" s="46"/>
      <c r="J811" s="43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15"/>
      <c r="B812" s="20"/>
      <c r="C812" s="20"/>
      <c r="D812" s="20"/>
      <c r="E812" s="27"/>
      <c r="F812" s="27"/>
      <c r="G812" s="28"/>
      <c r="H812" s="28"/>
      <c r="I812" s="28"/>
      <c r="J812" s="27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36"/>
      <c r="B813" s="39"/>
      <c r="C813" s="39"/>
      <c r="D813" s="39"/>
      <c r="E813" s="43"/>
      <c r="F813" s="43"/>
      <c r="G813" s="46"/>
      <c r="H813" s="46"/>
      <c r="I813" s="46"/>
      <c r="J813" s="43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15"/>
      <c r="B814" s="20"/>
      <c r="C814" s="20"/>
      <c r="D814" s="20"/>
      <c r="E814" s="27"/>
      <c r="F814" s="27"/>
      <c r="G814" s="28"/>
      <c r="H814" s="28"/>
      <c r="I814" s="28"/>
      <c r="J814" s="27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36"/>
      <c r="B815" s="39"/>
      <c r="C815" s="39"/>
      <c r="D815" s="39"/>
      <c r="E815" s="43"/>
      <c r="F815" s="43"/>
      <c r="G815" s="46"/>
      <c r="H815" s="46"/>
      <c r="I815" s="46"/>
      <c r="J815" s="43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15"/>
      <c r="B816" s="20"/>
      <c r="C816" s="20"/>
      <c r="D816" s="20"/>
      <c r="E816" s="27"/>
      <c r="F816" s="27"/>
      <c r="G816" s="28"/>
      <c r="H816" s="28"/>
      <c r="I816" s="28"/>
      <c r="J816" s="27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36"/>
      <c r="B817" s="39"/>
      <c r="C817" s="39"/>
      <c r="D817" s="39"/>
      <c r="E817" s="43"/>
      <c r="F817" s="43"/>
      <c r="G817" s="46"/>
      <c r="H817" s="46"/>
      <c r="I817" s="46"/>
      <c r="J817" s="43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15"/>
      <c r="B818" s="20"/>
      <c r="C818" s="20"/>
      <c r="D818" s="20"/>
      <c r="E818" s="27"/>
      <c r="F818" s="27"/>
      <c r="G818" s="28"/>
      <c r="H818" s="28"/>
      <c r="I818" s="28"/>
      <c r="J818" s="27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36"/>
      <c r="B819" s="39"/>
      <c r="C819" s="39"/>
      <c r="D819" s="39"/>
      <c r="E819" s="43"/>
      <c r="F819" s="43"/>
      <c r="G819" s="46"/>
      <c r="H819" s="46"/>
      <c r="I819" s="46"/>
      <c r="J819" s="43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15"/>
      <c r="B820" s="20"/>
      <c r="C820" s="20"/>
      <c r="D820" s="20"/>
      <c r="E820" s="27"/>
      <c r="F820" s="27"/>
      <c r="G820" s="28"/>
      <c r="H820" s="28"/>
      <c r="I820" s="28"/>
      <c r="J820" s="27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36"/>
      <c r="B821" s="39"/>
      <c r="C821" s="39"/>
      <c r="D821" s="39"/>
      <c r="E821" s="43"/>
      <c r="F821" s="43"/>
      <c r="G821" s="46"/>
      <c r="H821" s="46"/>
      <c r="I821" s="46"/>
      <c r="J821" s="43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15"/>
      <c r="B822" s="20"/>
      <c r="C822" s="20"/>
      <c r="D822" s="20"/>
      <c r="E822" s="27"/>
      <c r="F822" s="27"/>
      <c r="G822" s="28"/>
      <c r="H822" s="28"/>
      <c r="I822" s="28"/>
      <c r="J822" s="27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36"/>
      <c r="B823" s="39"/>
      <c r="C823" s="39"/>
      <c r="D823" s="39"/>
      <c r="E823" s="43"/>
      <c r="F823" s="43"/>
      <c r="G823" s="46"/>
      <c r="H823" s="46"/>
      <c r="I823" s="46"/>
      <c r="J823" s="43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15"/>
      <c r="B824" s="20"/>
      <c r="C824" s="20"/>
      <c r="D824" s="20"/>
      <c r="E824" s="27"/>
      <c r="F824" s="27"/>
      <c r="G824" s="28"/>
      <c r="H824" s="28"/>
      <c r="I824" s="28"/>
      <c r="J824" s="27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36"/>
      <c r="B825" s="39"/>
      <c r="C825" s="39"/>
      <c r="D825" s="39"/>
      <c r="E825" s="43"/>
      <c r="F825" s="43"/>
      <c r="G825" s="46"/>
      <c r="H825" s="46"/>
      <c r="I825" s="46"/>
      <c r="J825" s="43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15"/>
      <c r="B826" s="20"/>
      <c r="C826" s="20"/>
      <c r="D826" s="20"/>
      <c r="E826" s="27"/>
      <c r="F826" s="27"/>
      <c r="G826" s="28"/>
      <c r="H826" s="28"/>
      <c r="I826" s="28"/>
      <c r="J826" s="27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36"/>
      <c r="B827" s="39"/>
      <c r="C827" s="39"/>
      <c r="D827" s="39"/>
      <c r="E827" s="43"/>
      <c r="F827" s="43"/>
      <c r="G827" s="46"/>
      <c r="H827" s="46"/>
      <c r="I827" s="46"/>
      <c r="J827" s="43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15"/>
      <c r="B828" s="20"/>
      <c r="C828" s="20"/>
      <c r="D828" s="20"/>
      <c r="E828" s="27"/>
      <c r="F828" s="27"/>
      <c r="G828" s="28"/>
      <c r="H828" s="28"/>
      <c r="I828" s="28"/>
      <c r="J828" s="27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36"/>
      <c r="B829" s="39"/>
      <c r="C829" s="39"/>
      <c r="D829" s="39"/>
      <c r="E829" s="43"/>
      <c r="F829" s="43"/>
      <c r="G829" s="46"/>
      <c r="H829" s="46"/>
      <c r="I829" s="46"/>
      <c r="J829" s="43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15"/>
      <c r="B830" s="20"/>
      <c r="C830" s="20"/>
      <c r="D830" s="20"/>
      <c r="E830" s="27"/>
      <c r="F830" s="27"/>
      <c r="G830" s="28"/>
      <c r="H830" s="28"/>
      <c r="I830" s="28"/>
      <c r="J830" s="27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36"/>
      <c r="B831" s="39"/>
      <c r="C831" s="39"/>
      <c r="D831" s="39"/>
      <c r="E831" s="43"/>
      <c r="F831" s="43"/>
      <c r="G831" s="46"/>
      <c r="H831" s="46"/>
      <c r="I831" s="46"/>
      <c r="J831" s="43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15"/>
      <c r="B832" s="20"/>
      <c r="C832" s="20"/>
      <c r="D832" s="20"/>
      <c r="E832" s="27"/>
      <c r="F832" s="27"/>
      <c r="G832" s="28"/>
      <c r="H832" s="28"/>
      <c r="I832" s="28"/>
      <c r="J832" s="27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36"/>
      <c r="B833" s="39"/>
      <c r="C833" s="39"/>
      <c r="D833" s="39"/>
      <c r="E833" s="43"/>
      <c r="F833" s="43"/>
      <c r="G833" s="46"/>
      <c r="H833" s="46"/>
      <c r="I833" s="46"/>
      <c r="J833" s="43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15"/>
      <c r="B834" s="20"/>
      <c r="C834" s="20"/>
      <c r="D834" s="20"/>
      <c r="E834" s="27"/>
      <c r="F834" s="27"/>
      <c r="G834" s="28"/>
      <c r="H834" s="28"/>
      <c r="I834" s="28"/>
      <c r="J834" s="27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36"/>
      <c r="B835" s="39"/>
      <c r="C835" s="39"/>
      <c r="D835" s="39"/>
      <c r="E835" s="43"/>
      <c r="F835" s="43"/>
      <c r="G835" s="46"/>
      <c r="H835" s="46"/>
      <c r="I835" s="46"/>
      <c r="J835" s="43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15"/>
      <c r="B836" s="20"/>
      <c r="C836" s="20"/>
      <c r="D836" s="20"/>
      <c r="E836" s="27"/>
      <c r="F836" s="27"/>
      <c r="G836" s="28"/>
      <c r="H836" s="28"/>
      <c r="I836" s="28"/>
      <c r="J836" s="27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36"/>
      <c r="B837" s="39"/>
      <c r="C837" s="39"/>
      <c r="D837" s="39"/>
      <c r="E837" s="43"/>
      <c r="F837" s="43"/>
      <c r="G837" s="46"/>
      <c r="H837" s="46"/>
      <c r="I837" s="46"/>
      <c r="J837" s="43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15"/>
      <c r="B838" s="20"/>
      <c r="C838" s="20"/>
      <c r="D838" s="20"/>
      <c r="E838" s="27"/>
      <c r="F838" s="27"/>
      <c r="G838" s="28"/>
      <c r="H838" s="28"/>
      <c r="I838" s="28"/>
      <c r="J838" s="27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36"/>
      <c r="B839" s="39"/>
      <c r="C839" s="39"/>
      <c r="D839" s="39"/>
      <c r="E839" s="43"/>
      <c r="F839" s="43"/>
      <c r="G839" s="46"/>
      <c r="H839" s="46"/>
      <c r="I839" s="46"/>
      <c r="J839" s="43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15"/>
      <c r="B840" s="20"/>
      <c r="C840" s="20"/>
      <c r="D840" s="20"/>
      <c r="E840" s="27"/>
      <c r="F840" s="27"/>
      <c r="G840" s="28"/>
      <c r="H840" s="28"/>
      <c r="I840" s="28"/>
      <c r="J840" s="27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36"/>
      <c r="B841" s="39"/>
      <c r="C841" s="39"/>
      <c r="D841" s="39"/>
      <c r="E841" s="43"/>
      <c r="F841" s="43"/>
      <c r="G841" s="46"/>
      <c r="H841" s="46"/>
      <c r="I841" s="46"/>
      <c r="J841" s="43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15"/>
      <c r="B842" s="20"/>
      <c r="C842" s="20"/>
      <c r="D842" s="20"/>
      <c r="E842" s="27"/>
      <c r="F842" s="27"/>
      <c r="G842" s="28"/>
      <c r="H842" s="28"/>
      <c r="I842" s="28"/>
      <c r="J842" s="27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36"/>
      <c r="B843" s="39"/>
      <c r="C843" s="39"/>
      <c r="D843" s="39"/>
      <c r="E843" s="43"/>
      <c r="F843" s="43"/>
      <c r="G843" s="46"/>
      <c r="H843" s="46"/>
      <c r="I843" s="46"/>
      <c r="J843" s="43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15"/>
      <c r="B844" s="20"/>
      <c r="C844" s="20"/>
      <c r="D844" s="20"/>
      <c r="E844" s="27"/>
      <c r="F844" s="27"/>
      <c r="G844" s="28"/>
      <c r="H844" s="28"/>
      <c r="I844" s="28"/>
      <c r="J844" s="27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36"/>
      <c r="B845" s="39"/>
      <c r="C845" s="39"/>
      <c r="D845" s="39"/>
      <c r="E845" s="43"/>
      <c r="F845" s="43"/>
      <c r="G845" s="46"/>
      <c r="H845" s="46"/>
      <c r="I845" s="46"/>
      <c r="J845" s="43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15"/>
      <c r="B846" s="20"/>
      <c r="C846" s="20"/>
      <c r="D846" s="20"/>
      <c r="E846" s="27"/>
      <c r="F846" s="27"/>
      <c r="G846" s="28"/>
      <c r="H846" s="28"/>
      <c r="I846" s="28"/>
      <c r="J846" s="27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36"/>
      <c r="B847" s="39"/>
      <c r="C847" s="39"/>
      <c r="D847" s="39"/>
      <c r="E847" s="43"/>
      <c r="F847" s="43"/>
      <c r="G847" s="46"/>
      <c r="H847" s="46"/>
      <c r="I847" s="46"/>
      <c r="J847" s="43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15"/>
      <c r="B848" s="20"/>
      <c r="C848" s="20"/>
      <c r="D848" s="20"/>
      <c r="E848" s="27"/>
      <c r="F848" s="27"/>
      <c r="G848" s="28"/>
      <c r="H848" s="28"/>
      <c r="I848" s="28"/>
      <c r="J848" s="27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36"/>
      <c r="B849" s="39"/>
      <c r="C849" s="39"/>
      <c r="D849" s="39"/>
      <c r="E849" s="43"/>
      <c r="F849" s="43"/>
      <c r="G849" s="46"/>
      <c r="H849" s="46"/>
      <c r="I849" s="46"/>
      <c r="J849" s="43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15"/>
      <c r="B850" s="20"/>
      <c r="C850" s="20"/>
      <c r="D850" s="20"/>
      <c r="E850" s="27"/>
      <c r="F850" s="27"/>
      <c r="G850" s="28"/>
      <c r="H850" s="28"/>
      <c r="I850" s="28"/>
      <c r="J850" s="27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36"/>
      <c r="B851" s="39"/>
      <c r="C851" s="39"/>
      <c r="D851" s="39"/>
      <c r="E851" s="43"/>
      <c r="F851" s="43"/>
      <c r="G851" s="46"/>
      <c r="H851" s="46"/>
      <c r="I851" s="46"/>
      <c r="J851" s="43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15"/>
      <c r="B852" s="20"/>
      <c r="C852" s="20"/>
      <c r="D852" s="20"/>
      <c r="E852" s="27"/>
      <c r="F852" s="27"/>
      <c r="G852" s="28"/>
      <c r="H852" s="28"/>
      <c r="I852" s="28"/>
      <c r="J852" s="27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36"/>
      <c r="B853" s="39"/>
      <c r="C853" s="39"/>
      <c r="D853" s="39"/>
      <c r="E853" s="43"/>
      <c r="F853" s="43"/>
      <c r="G853" s="46"/>
      <c r="H853" s="46"/>
      <c r="I853" s="46"/>
      <c r="J853" s="43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15"/>
      <c r="B854" s="20"/>
      <c r="C854" s="20"/>
      <c r="D854" s="20"/>
      <c r="E854" s="27"/>
      <c r="F854" s="27"/>
      <c r="G854" s="28"/>
      <c r="H854" s="28"/>
      <c r="I854" s="28"/>
      <c r="J854" s="27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36"/>
      <c r="B855" s="39"/>
      <c r="C855" s="39"/>
      <c r="D855" s="39"/>
      <c r="E855" s="43"/>
      <c r="F855" s="43"/>
      <c r="G855" s="46"/>
      <c r="H855" s="46"/>
      <c r="I855" s="46"/>
      <c r="J855" s="43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15"/>
      <c r="B856" s="20"/>
      <c r="C856" s="20"/>
      <c r="D856" s="20"/>
      <c r="E856" s="27"/>
      <c r="F856" s="27"/>
      <c r="G856" s="28"/>
      <c r="H856" s="28"/>
      <c r="I856" s="28"/>
      <c r="J856" s="27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36"/>
      <c r="B857" s="39"/>
      <c r="C857" s="39"/>
      <c r="D857" s="39"/>
      <c r="E857" s="43"/>
      <c r="F857" s="43"/>
      <c r="G857" s="46"/>
      <c r="H857" s="46"/>
      <c r="I857" s="46"/>
      <c r="J857" s="43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15"/>
      <c r="B858" s="20"/>
      <c r="C858" s="20"/>
      <c r="D858" s="20"/>
      <c r="E858" s="27"/>
      <c r="F858" s="27"/>
      <c r="G858" s="28"/>
      <c r="H858" s="28"/>
      <c r="I858" s="28"/>
      <c r="J858" s="27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36"/>
      <c r="B859" s="39"/>
      <c r="C859" s="39"/>
      <c r="D859" s="39"/>
      <c r="E859" s="43"/>
      <c r="F859" s="43"/>
      <c r="G859" s="46"/>
      <c r="H859" s="46"/>
      <c r="I859" s="46"/>
      <c r="J859" s="43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15"/>
      <c r="B860" s="20"/>
      <c r="C860" s="20"/>
      <c r="D860" s="20"/>
      <c r="E860" s="27"/>
      <c r="F860" s="27"/>
      <c r="G860" s="28"/>
      <c r="H860" s="28"/>
      <c r="I860" s="28"/>
      <c r="J860" s="27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36"/>
      <c r="B861" s="39"/>
      <c r="C861" s="39"/>
      <c r="D861" s="39"/>
      <c r="E861" s="43"/>
      <c r="F861" s="43"/>
      <c r="G861" s="46"/>
      <c r="H861" s="46"/>
      <c r="I861" s="46"/>
      <c r="J861" s="43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15"/>
      <c r="B862" s="20"/>
      <c r="C862" s="20"/>
      <c r="D862" s="20"/>
      <c r="E862" s="27"/>
      <c r="F862" s="27"/>
      <c r="G862" s="28"/>
      <c r="H862" s="28"/>
      <c r="I862" s="28"/>
      <c r="J862" s="27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36"/>
      <c r="B863" s="39"/>
      <c r="C863" s="39"/>
      <c r="D863" s="39"/>
      <c r="E863" s="43"/>
      <c r="F863" s="43"/>
      <c r="G863" s="46"/>
      <c r="H863" s="46"/>
      <c r="I863" s="46"/>
      <c r="J863" s="43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15"/>
      <c r="B864" s="20"/>
      <c r="C864" s="20"/>
      <c r="D864" s="20"/>
      <c r="E864" s="27"/>
      <c r="F864" s="27"/>
      <c r="G864" s="28"/>
      <c r="H864" s="28"/>
      <c r="I864" s="28"/>
      <c r="J864" s="27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36"/>
      <c r="B865" s="39"/>
      <c r="C865" s="39"/>
      <c r="D865" s="39"/>
      <c r="E865" s="43"/>
      <c r="F865" s="43"/>
      <c r="G865" s="46"/>
      <c r="H865" s="46"/>
      <c r="I865" s="46"/>
      <c r="J865" s="43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15"/>
      <c r="B866" s="20"/>
      <c r="C866" s="20"/>
      <c r="D866" s="20"/>
      <c r="E866" s="27"/>
      <c r="F866" s="27"/>
      <c r="G866" s="28"/>
      <c r="H866" s="28"/>
      <c r="I866" s="28"/>
      <c r="J866" s="27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36"/>
      <c r="B867" s="39"/>
      <c r="C867" s="39"/>
      <c r="D867" s="39"/>
      <c r="E867" s="43"/>
      <c r="F867" s="43"/>
      <c r="G867" s="46"/>
      <c r="H867" s="46"/>
      <c r="I867" s="46"/>
      <c r="J867" s="43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15"/>
      <c r="B868" s="20"/>
      <c r="C868" s="20"/>
      <c r="D868" s="20"/>
      <c r="E868" s="27"/>
      <c r="F868" s="27"/>
      <c r="G868" s="28"/>
      <c r="H868" s="28"/>
      <c r="I868" s="28"/>
      <c r="J868" s="27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36"/>
      <c r="B869" s="39"/>
      <c r="C869" s="39"/>
      <c r="D869" s="39"/>
      <c r="E869" s="43"/>
      <c r="F869" s="43"/>
      <c r="G869" s="46"/>
      <c r="H869" s="46"/>
      <c r="I869" s="46"/>
      <c r="J869" s="43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15"/>
      <c r="B870" s="20"/>
      <c r="C870" s="20"/>
      <c r="D870" s="20"/>
      <c r="E870" s="27"/>
      <c r="F870" s="27"/>
      <c r="G870" s="28"/>
      <c r="H870" s="28"/>
      <c r="I870" s="28"/>
      <c r="J870" s="27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36"/>
      <c r="B871" s="39"/>
      <c r="C871" s="39"/>
      <c r="D871" s="39"/>
      <c r="E871" s="43"/>
      <c r="F871" s="43"/>
      <c r="G871" s="46"/>
      <c r="H871" s="46"/>
      <c r="I871" s="46"/>
      <c r="J871" s="43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15"/>
      <c r="B872" s="20"/>
      <c r="C872" s="20"/>
      <c r="D872" s="20"/>
      <c r="E872" s="27"/>
      <c r="F872" s="27"/>
      <c r="G872" s="28"/>
      <c r="H872" s="28"/>
      <c r="I872" s="28"/>
      <c r="J872" s="27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36"/>
      <c r="B873" s="39"/>
      <c r="C873" s="39"/>
      <c r="D873" s="39"/>
      <c r="E873" s="43"/>
      <c r="F873" s="43"/>
      <c r="G873" s="46"/>
      <c r="H873" s="46"/>
      <c r="I873" s="46"/>
      <c r="J873" s="43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15"/>
      <c r="B874" s="20"/>
      <c r="C874" s="20"/>
      <c r="D874" s="20"/>
      <c r="E874" s="27"/>
      <c r="F874" s="27"/>
      <c r="G874" s="28"/>
      <c r="H874" s="28"/>
      <c r="I874" s="28"/>
      <c r="J874" s="27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36"/>
      <c r="B875" s="39"/>
      <c r="C875" s="39"/>
      <c r="D875" s="39"/>
      <c r="E875" s="43"/>
      <c r="F875" s="43"/>
      <c r="G875" s="46"/>
      <c r="H875" s="46"/>
      <c r="I875" s="46"/>
      <c r="J875" s="43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15"/>
      <c r="B876" s="20"/>
      <c r="C876" s="20"/>
      <c r="D876" s="20"/>
      <c r="E876" s="27"/>
      <c r="F876" s="27"/>
      <c r="G876" s="28"/>
      <c r="H876" s="28"/>
      <c r="I876" s="28"/>
      <c r="J876" s="27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36"/>
      <c r="B877" s="39"/>
      <c r="C877" s="39"/>
      <c r="D877" s="39"/>
      <c r="E877" s="43"/>
      <c r="F877" s="43"/>
      <c r="G877" s="46"/>
      <c r="H877" s="46"/>
      <c r="I877" s="46"/>
      <c r="J877" s="43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15"/>
      <c r="B878" s="20"/>
      <c r="C878" s="20"/>
      <c r="D878" s="20"/>
      <c r="E878" s="27"/>
      <c r="F878" s="27"/>
      <c r="G878" s="28"/>
      <c r="H878" s="28"/>
      <c r="I878" s="28"/>
      <c r="J878" s="27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36"/>
      <c r="B879" s="39"/>
      <c r="C879" s="39"/>
      <c r="D879" s="39"/>
      <c r="E879" s="43"/>
      <c r="F879" s="43"/>
      <c r="G879" s="46"/>
      <c r="H879" s="46"/>
      <c r="I879" s="46"/>
      <c r="J879" s="43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15"/>
      <c r="B880" s="20"/>
      <c r="C880" s="20"/>
      <c r="D880" s="20"/>
      <c r="E880" s="27"/>
      <c r="F880" s="27"/>
      <c r="G880" s="28"/>
      <c r="H880" s="28"/>
      <c r="I880" s="28"/>
      <c r="J880" s="27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36"/>
      <c r="B881" s="39"/>
      <c r="C881" s="39"/>
      <c r="D881" s="39"/>
      <c r="E881" s="43"/>
      <c r="F881" s="43"/>
      <c r="G881" s="46"/>
      <c r="H881" s="46"/>
      <c r="I881" s="46"/>
      <c r="J881" s="43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15"/>
      <c r="B882" s="20"/>
      <c r="C882" s="20"/>
      <c r="D882" s="20"/>
      <c r="E882" s="27"/>
      <c r="F882" s="27"/>
      <c r="G882" s="28"/>
      <c r="H882" s="28"/>
      <c r="I882" s="28"/>
      <c r="J882" s="27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36"/>
      <c r="B883" s="39"/>
      <c r="C883" s="39"/>
      <c r="D883" s="39"/>
      <c r="E883" s="43"/>
      <c r="F883" s="43"/>
      <c r="G883" s="46"/>
      <c r="H883" s="46"/>
      <c r="I883" s="46"/>
      <c r="J883" s="43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15"/>
      <c r="B884" s="20"/>
      <c r="C884" s="20"/>
      <c r="D884" s="20"/>
      <c r="E884" s="27"/>
      <c r="F884" s="27"/>
      <c r="G884" s="28"/>
      <c r="H884" s="28"/>
      <c r="I884" s="28"/>
      <c r="J884" s="27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36"/>
      <c r="B885" s="39"/>
      <c r="C885" s="39"/>
      <c r="D885" s="39"/>
      <c r="E885" s="43"/>
      <c r="F885" s="43"/>
      <c r="G885" s="46"/>
      <c r="H885" s="46"/>
      <c r="I885" s="46"/>
      <c r="J885" s="43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15"/>
      <c r="B886" s="20"/>
      <c r="C886" s="20"/>
      <c r="D886" s="20"/>
      <c r="E886" s="27"/>
      <c r="F886" s="27"/>
      <c r="G886" s="28"/>
      <c r="H886" s="28"/>
      <c r="I886" s="28"/>
      <c r="J886" s="27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36"/>
      <c r="B887" s="39"/>
      <c r="C887" s="39"/>
      <c r="D887" s="39"/>
      <c r="E887" s="43"/>
      <c r="F887" s="43"/>
      <c r="G887" s="46"/>
      <c r="H887" s="46"/>
      <c r="I887" s="46"/>
      <c r="J887" s="43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15"/>
      <c r="B888" s="20"/>
      <c r="C888" s="20"/>
      <c r="D888" s="20"/>
      <c r="E888" s="27"/>
      <c r="F888" s="27"/>
      <c r="G888" s="28"/>
      <c r="H888" s="28"/>
      <c r="I888" s="28"/>
      <c r="J888" s="27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36"/>
      <c r="B889" s="39"/>
      <c r="C889" s="39"/>
      <c r="D889" s="39"/>
      <c r="E889" s="43"/>
      <c r="F889" s="43"/>
      <c r="G889" s="46"/>
      <c r="H889" s="46"/>
      <c r="I889" s="46"/>
      <c r="J889" s="43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15"/>
      <c r="B890" s="20"/>
      <c r="C890" s="20"/>
      <c r="D890" s="20"/>
      <c r="E890" s="27"/>
      <c r="F890" s="27"/>
      <c r="G890" s="28"/>
      <c r="H890" s="28"/>
      <c r="I890" s="28"/>
      <c r="J890" s="27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36"/>
      <c r="B891" s="39"/>
      <c r="C891" s="39"/>
      <c r="D891" s="39"/>
      <c r="E891" s="43"/>
      <c r="F891" s="43"/>
      <c r="G891" s="46"/>
      <c r="H891" s="46"/>
      <c r="I891" s="46"/>
      <c r="J891" s="43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15"/>
      <c r="B892" s="20"/>
      <c r="C892" s="20"/>
      <c r="D892" s="20"/>
      <c r="E892" s="27"/>
      <c r="F892" s="27"/>
      <c r="G892" s="28"/>
      <c r="H892" s="28"/>
      <c r="I892" s="28"/>
      <c r="J892" s="27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36"/>
      <c r="B893" s="39"/>
      <c r="C893" s="39"/>
      <c r="D893" s="39"/>
      <c r="E893" s="43"/>
      <c r="F893" s="43"/>
      <c r="G893" s="46"/>
      <c r="H893" s="46"/>
      <c r="I893" s="46"/>
      <c r="J893" s="43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15"/>
      <c r="B894" s="20"/>
      <c r="C894" s="20"/>
      <c r="D894" s="20"/>
      <c r="E894" s="27"/>
      <c r="F894" s="27"/>
      <c r="G894" s="28"/>
      <c r="H894" s="28"/>
      <c r="I894" s="28"/>
      <c r="J894" s="27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36"/>
      <c r="B895" s="39"/>
      <c r="C895" s="39"/>
      <c r="D895" s="39"/>
      <c r="E895" s="43"/>
      <c r="F895" s="43"/>
      <c r="G895" s="46"/>
      <c r="H895" s="46"/>
      <c r="I895" s="46"/>
      <c r="J895" s="43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15"/>
      <c r="B896" s="20"/>
      <c r="C896" s="20"/>
      <c r="D896" s="20"/>
      <c r="E896" s="27"/>
      <c r="F896" s="27"/>
      <c r="G896" s="28"/>
      <c r="H896" s="28"/>
      <c r="I896" s="28"/>
      <c r="J896" s="27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36"/>
      <c r="B897" s="39"/>
      <c r="C897" s="39"/>
      <c r="D897" s="39"/>
      <c r="E897" s="43"/>
      <c r="F897" s="43"/>
      <c r="G897" s="46"/>
      <c r="H897" s="46"/>
      <c r="I897" s="46"/>
      <c r="J897" s="43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15"/>
      <c r="B898" s="20"/>
      <c r="C898" s="20"/>
      <c r="D898" s="20"/>
      <c r="E898" s="27"/>
      <c r="F898" s="27"/>
      <c r="G898" s="28"/>
      <c r="H898" s="28"/>
      <c r="I898" s="28"/>
      <c r="J898" s="27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36"/>
      <c r="B899" s="39"/>
      <c r="C899" s="39"/>
      <c r="D899" s="39"/>
      <c r="E899" s="43"/>
      <c r="F899" s="43"/>
      <c r="G899" s="46"/>
      <c r="H899" s="46"/>
      <c r="I899" s="46"/>
      <c r="J899" s="43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15"/>
      <c r="B900" s="20"/>
      <c r="C900" s="20"/>
      <c r="D900" s="20"/>
      <c r="E900" s="27"/>
      <c r="F900" s="27"/>
      <c r="G900" s="28"/>
      <c r="H900" s="28"/>
      <c r="I900" s="28"/>
      <c r="J900" s="27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36"/>
      <c r="B901" s="39"/>
      <c r="C901" s="39"/>
      <c r="D901" s="39"/>
      <c r="E901" s="43"/>
      <c r="F901" s="43"/>
      <c r="G901" s="46"/>
      <c r="H901" s="46"/>
      <c r="I901" s="46"/>
      <c r="J901" s="43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15"/>
      <c r="B902" s="20"/>
      <c r="C902" s="20"/>
      <c r="D902" s="20"/>
      <c r="E902" s="27"/>
      <c r="F902" s="27"/>
      <c r="G902" s="28"/>
      <c r="H902" s="28"/>
      <c r="I902" s="28"/>
      <c r="J902" s="27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36"/>
      <c r="B903" s="39"/>
      <c r="C903" s="39"/>
      <c r="D903" s="39"/>
      <c r="E903" s="43"/>
      <c r="F903" s="43"/>
      <c r="G903" s="46"/>
      <c r="H903" s="46"/>
      <c r="I903" s="46"/>
      <c r="J903" s="43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15"/>
      <c r="B904" s="20"/>
      <c r="C904" s="20"/>
      <c r="D904" s="20"/>
      <c r="E904" s="27"/>
      <c r="F904" s="27"/>
      <c r="G904" s="28"/>
      <c r="H904" s="28"/>
      <c r="I904" s="28"/>
      <c r="J904" s="27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36"/>
      <c r="B905" s="39"/>
      <c r="C905" s="39"/>
      <c r="D905" s="39"/>
      <c r="E905" s="43"/>
      <c r="F905" s="43"/>
      <c r="G905" s="46"/>
      <c r="H905" s="46"/>
      <c r="I905" s="46"/>
      <c r="J905" s="43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15"/>
      <c r="B906" s="20"/>
      <c r="C906" s="20"/>
      <c r="D906" s="20"/>
      <c r="E906" s="27"/>
      <c r="F906" s="27"/>
      <c r="G906" s="28"/>
      <c r="H906" s="28"/>
      <c r="I906" s="28"/>
      <c r="J906" s="27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36"/>
      <c r="B907" s="39"/>
      <c r="C907" s="39"/>
      <c r="D907" s="39"/>
      <c r="E907" s="43"/>
      <c r="F907" s="43"/>
      <c r="G907" s="46"/>
      <c r="H907" s="46"/>
      <c r="I907" s="46"/>
      <c r="J907" s="43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15"/>
      <c r="B908" s="20"/>
      <c r="C908" s="20"/>
      <c r="D908" s="20"/>
      <c r="E908" s="27"/>
      <c r="F908" s="27"/>
      <c r="G908" s="28"/>
      <c r="H908" s="28"/>
      <c r="I908" s="28"/>
      <c r="J908" s="27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36"/>
      <c r="B909" s="39"/>
      <c r="C909" s="39"/>
      <c r="D909" s="39"/>
      <c r="E909" s="43"/>
      <c r="F909" s="43"/>
      <c r="G909" s="46"/>
      <c r="H909" s="46"/>
      <c r="I909" s="46"/>
      <c r="J909" s="43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15"/>
      <c r="B910" s="20"/>
      <c r="C910" s="20"/>
      <c r="D910" s="20"/>
      <c r="E910" s="27"/>
      <c r="F910" s="27"/>
      <c r="G910" s="28"/>
      <c r="H910" s="28"/>
      <c r="I910" s="28"/>
      <c r="J910" s="27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36"/>
      <c r="B911" s="39"/>
      <c r="C911" s="39"/>
      <c r="D911" s="39"/>
      <c r="E911" s="43"/>
      <c r="F911" s="43"/>
      <c r="G911" s="46"/>
      <c r="H911" s="46"/>
      <c r="I911" s="46"/>
      <c r="J911" s="43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15"/>
      <c r="B912" s="20"/>
      <c r="C912" s="20"/>
      <c r="D912" s="20"/>
      <c r="E912" s="27"/>
      <c r="F912" s="27"/>
      <c r="G912" s="28"/>
      <c r="H912" s="28"/>
      <c r="I912" s="28"/>
      <c r="J912" s="27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36"/>
      <c r="B913" s="39"/>
      <c r="C913" s="39"/>
      <c r="D913" s="39"/>
      <c r="E913" s="43"/>
      <c r="F913" s="43"/>
      <c r="G913" s="46"/>
      <c r="H913" s="46"/>
      <c r="I913" s="46"/>
      <c r="J913" s="43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15"/>
      <c r="B914" s="20"/>
      <c r="C914" s="20"/>
      <c r="D914" s="20"/>
      <c r="E914" s="27"/>
      <c r="F914" s="27"/>
      <c r="G914" s="28"/>
      <c r="H914" s="28"/>
      <c r="I914" s="28"/>
      <c r="J914" s="27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36"/>
      <c r="B915" s="39"/>
      <c r="C915" s="39"/>
      <c r="D915" s="39"/>
      <c r="E915" s="43"/>
      <c r="F915" s="43"/>
      <c r="G915" s="46"/>
      <c r="H915" s="46"/>
      <c r="I915" s="46"/>
      <c r="J915" s="43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15"/>
      <c r="B916" s="20"/>
      <c r="C916" s="20"/>
      <c r="D916" s="20"/>
      <c r="E916" s="27"/>
      <c r="F916" s="27"/>
      <c r="G916" s="28"/>
      <c r="H916" s="28"/>
      <c r="I916" s="28"/>
      <c r="J916" s="27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36"/>
      <c r="B917" s="39"/>
      <c r="C917" s="39"/>
      <c r="D917" s="39"/>
      <c r="E917" s="43"/>
      <c r="F917" s="43"/>
      <c r="G917" s="46"/>
      <c r="H917" s="46"/>
      <c r="I917" s="46"/>
      <c r="J917" s="43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15"/>
      <c r="B918" s="20"/>
      <c r="C918" s="20"/>
      <c r="D918" s="20"/>
      <c r="E918" s="27"/>
      <c r="F918" s="27"/>
      <c r="G918" s="28"/>
      <c r="H918" s="28"/>
      <c r="I918" s="28"/>
      <c r="J918" s="27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36"/>
      <c r="B919" s="39"/>
      <c r="C919" s="39"/>
      <c r="D919" s="39"/>
      <c r="E919" s="43"/>
      <c r="F919" s="43"/>
      <c r="G919" s="46"/>
      <c r="H919" s="46"/>
      <c r="I919" s="46"/>
      <c r="J919" s="43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15"/>
      <c r="B920" s="20"/>
      <c r="C920" s="20"/>
      <c r="D920" s="20"/>
      <c r="E920" s="27"/>
      <c r="F920" s="27"/>
      <c r="G920" s="28"/>
      <c r="H920" s="28"/>
      <c r="I920" s="28"/>
      <c r="J920" s="27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36"/>
      <c r="B921" s="39"/>
      <c r="C921" s="39"/>
      <c r="D921" s="39"/>
      <c r="E921" s="43"/>
      <c r="F921" s="43"/>
      <c r="G921" s="46"/>
      <c r="H921" s="46"/>
      <c r="I921" s="46"/>
      <c r="J921" s="43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15"/>
      <c r="B922" s="20"/>
      <c r="C922" s="20"/>
      <c r="D922" s="20"/>
      <c r="E922" s="27"/>
      <c r="F922" s="27"/>
      <c r="G922" s="28"/>
      <c r="H922" s="28"/>
      <c r="I922" s="28"/>
      <c r="J922" s="27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36"/>
      <c r="B923" s="39"/>
      <c r="C923" s="39"/>
      <c r="D923" s="39"/>
      <c r="E923" s="43"/>
      <c r="F923" s="43"/>
      <c r="G923" s="46"/>
      <c r="H923" s="46"/>
      <c r="I923" s="46"/>
      <c r="J923" s="43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15"/>
      <c r="B924" s="20"/>
      <c r="C924" s="20"/>
      <c r="D924" s="20"/>
      <c r="E924" s="27"/>
      <c r="F924" s="27"/>
      <c r="G924" s="28"/>
      <c r="H924" s="28"/>
      <c r="I924" s="28"/>
      <c r="J924" s="27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36"/>
      <c r="B925" s="39"/>
      <c r="C925" s="39"/>
      <c r="D925" s="39"/>
      <c r="E925" s="43"/>
      <c r="F925" s="43"/>
      <c r="G925" s="46"/>
      <c r="H925" s="46"/>
      <c r="I925" s="46"/>
      <c r="J925" s="43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15"/>
      <c r="B926" s="20"/>
      <c r="C926" s="20"/>
      <c r="D926" s="20"/>
      <c r="E926" s="27"/>
      <c r="F926" s="27"/>
      <c r="G926" s="28"/>
      <c r="H926" s="28"/>
      <c r="I926" s="28"/>
      <c r="J926" s="27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36"/>
      <c r="B927" s="39"/>
      <c r="C927" s="39"/>
      <c r="D927" s="39"/>
      <c r="E927" s="43"/>
      <c r="F927" s="43"/>
      <c r="G927" s="46"/>
      <c r="H927" s="46"/>
      <c r="I927" s="46"/>
      <c r="J927" s="43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15"/>
      <c r="B928" s="20"/>
      <c r="C928" s="20"/>
      <c r="D928" s="20"/>
      <c r="E928" s="27"/>
      <c r="F928" s="27"/>
      <c r="G928" s="28"/>
      <c r="H928" s="28"/>
      <c r="I928" s="28"/>
      <c r="J928" s="27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36"/>
      <c r="B929" s="39"/>
      <c r="C929" s="39"/>
      <c r="D929" s="39"/>
      <c r="E929" s="43"/>
      <c r="F929" s="43"/>
      <c r="G929" s="46"/>
      <c r="H929" s="46"/>
      <c r="I929" s="46"/>
      <c r="J929" s="43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15"/>
      <c r="B930" s="20"/>
      <c r="C930" s="20"/>
      <c r="D930" s="20"/>
      <c r="E930" s="27"/>
      <c r="F930" s="27"/>
      <c r="G930" s="28"/>
      <c r="H930" s="28"/>
      <c r="I930" s="28"/>
      <c r="J930" s="27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36"/>
      <c r="B931" s="39"/>
      <c r="C931" s="39"/>
      <c r="D931" s="39"/>
      <c r="E931" s="43"/>
      <c r="F931" s="43"/>
      <c r="G931" s="46"/>
      <c r="H931" s="46"/>
      <c r="I931" s="46"/>
      <c r="J931" s="43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15"/>
      <c r="B932" s="20"/>
      <c r="C932" s="20"/>
      <c r="D932" s="20"/>
      <c r="E932" s="27"/>
      <c r="F932" s="27"/>
      <c r="G932" s="28"/>
      <c r="H932" s="28"/>
      <c r="I932" s="28"/>
      <c r="J932" s="27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36"/>
      <c r="B933" s="39"/>
      <c r="C933" s="39"/>
      <c r="D933" s="39"/>
      <c r="E933" s="43"/>
      <c r="F933" s="43"/>
      <c r="G933" s="46"/>
      <c r="H933" s="46"/>
      <c r="I933" s="46"/>
      <c r="J933" s="43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15"/>
      <c r="B934" s="20"/>
      <c r="C934" s="20"/>
      <c r="D934" s="20"/>
      <c r="E934" s="27"/>
      <c r="F934" s="27"/>
      <c r="G934" s="28"/>
      <c r="H934" s="28"/>
      <c r="I934" s="28"/>
      <c r="J934" s="27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36"/>
      <c r="B935" s="39"/>
      <c r="C935" s="39"/>
      <c r="D935" s="39"/>
      <c r="E935" s="43"/>
      <c r="F935" s="43"/>
      <c r="G935" s="46"/>
      <c r="H935" s="46"/>
      <c r="I935" s="46"/>
      <c r="J935" s="43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15"/>
      <c r="B936" s="20"/>
      <c r="C936" s="20"/>
      <c r="D936" s="20"/>
      <c r="E936" s="27"/>
      <c r="F936" s="27"/>
      <c r="G936" s="28"/>
      <c r="H936" s="28"/>
      <c r="I936" s="28"/>
      <c r="J936" s="27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36"/>
      <c r="B937" s="39"/>
      <c r="C937" s="39"/>
      <c r="D937" s="39"/>
      <c r="E937" s="43"/>
      <c r="F937" s="43"/>
      <c r="G937" s="46"/>
      <c r="H937" s="46"/>
      <c r="I937" s="46"/>
      <c r="J937" s="43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15"/>
      <c r="B938" s="20"/>
      <c r="C938" s="20"/>
      <c r="D938" s="20"/>
      <c r="E938" s="27"/>
      <c r="F938" s="27"/>
      <c r="G938" s="28"/>
      <c r="H938" s="28"/>
      <c r="I938" s="28"/>
      <c r="J938" s="27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36"/>
      <c r="B939" s="39"/>
      <c r="C939" s="39"/>
      <c r="D939" s="39"/>
      <c r="E939" s="43"/>
      <c r="F939" s="43"/>
      <c r="G939" s="46"/>
      <c r="H939" s="46"/>
      <c r="I939" s="46"/>
      <c r="J939" s="43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15"/>
      <c r="B940" s="20"/>
      <c r="C940" s="20"/>
      <c r="D940" s="20"/>
      <c r="E940" s="27"/>
      <c r="F940" s="27"/>
      <c r="G940" s="28"/>
      <c r="H940" s="28"/>
      <c r="I940" s="28"/>
      <c r="J940" s="27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36"/>
      <c r="B941" s="39"/>
      <c r="C941" s="39"/>
      <c r="D941" s="39"/>
      <c r="E941" s="43"/>
      <c r="F941" s="43"/>
      <c r="G941" s="46"/>
      <c r="H941" s="46"/>
      <c r="I941" s="46"/>
      <c r="J941" s="43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15"/>
      <c r="B942" s="20"/>
      <c r="C942" s="20"/>
      <c r="D942" s="20"/>
      <c r="E942" s="27"/>
      <c r="F942" s="27"/>
      <c r="G942" s="28"/>
      <c r="H942" s="28"/>
      <c r="I942" s="28"/>
      <c r="J942" s="27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36"/>
      <c r="B943" s="39"/>
      <c r="C943" s="39"/>
      <c r="D943" s="39"/>
      <c r="E943" s="43"/>
      <c r="F943" s="43"/>
      <c r="G943" s="46"/>
      <c r="H943" s="46"/>
      <c r="I943" s="46"/>
      <c r="J943" s="43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15"/>
      <c r="B944" s="20"/>
      <c r="C944" s="20"/>
      <c r="D944" s="20"/>
      <c r="E944" s="27"/>
      <c r="F944" s="27"/>
      <c r="G944" s="28"/>
      <c r="H944" s="28"/>
      <c r="I944" s="28"/>
      <c r="J944" s="27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36"/>
      <c r="B945" s="39"/>
      <c r="C945" s="39"/>
      <c r="D945" s="39"/>
      <c r="E945" s="43"/>
      <c r="F945" s="43"/>
      <c r="G945" s="46"/>
      <c r="H945" s="46"/>
      <c r="I945" s="46"/>
      <c r="J945" s="43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15"/>
      <c r="B946" s="20"/>
      <c r="C946" s="20"/>
      <c r="D946" s="20"/>
      <c r="E946" s="27"/>
      <c r="F946" s="27"/>
      <c r="G946" s="28"/>
      <c r="H946" s="28"/>
      <c r="I946" s="28"/>
      <c r="J946" s="27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36"/>
      <c r="B947" s="39"/>
      <c r="C947" s="39"/>
      <c r="D947" s="39"/>
      <c r="E947" s="43"/>
      <c r="F947" s="43"/>
      <c r="G947" s="46"/>
      <c r="H947" s="46"/>
      <c r="I947" s="46"/>
      <c r="J947" s="43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15"/>
      <c r="B948" s="20"/>
      <c r="C948" s="20"/>
      <c r="D948" s="20"/>
      <c r="E948" s="27"/>
      <c r="F948" s="27"/>
      <c r="G948" s="28"/>
      <c r="H948" s="28"/>
      <c r="I948" s="28"/>
      <c r="J948" s="27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36"/>
      <c r="B949" s="39"/>
      <c r="C949" s="39"/>
      <c r="D949" s="39"/>
      <c r="E949" s="43"/>
      <c r="F949" s="43"/>
      <c r="G949" s="46"/>
      <c r="H949" s="46"/>
      <c r="I949" s="46"/>
      <c r="J949" s="43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15"/>
      <c r="B950" s="20"/>
      <c r="C950" s="20"/>
      <c r="D950" s="20"/>
      <c r="E950" s="27"/>
      <c r="F950" s="27"/>
      <c r="G950" s="28"/>
      <c r="H950" s="28"/>
      <c r="I950" s="28"/>
      <c r="J950" s="27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36"/>
      <c r="B951" s="39"/>
      <c r="C951" s="39"/>
      <c r="D951" s="39"/>
      <c r="E951" s="43"/>
      <c r="F951" s="43"/>
      <c r="G951" s="46"/>
      <c r="H951" s="46"/>
      <c r="I951" s="46"/>
      <c r="J951" s="43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15"/>
      <c r="B952" s="20"/>
      <c r="C952" s="20"/>
      <c r="D952" s="20"/>
      <c r="E952" s="27"/>
      <c r="F952" s="27"/>
      <c r="G952" s="28"/>
      <c r="H952" s="28"/>
      <c r="I952" s="28"/>
      <c r="J952" s="27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36"/>
      <c r="B953" s="39"/>
      <c r="C953" s="39"/>
      <c r="D953" s="39"/>
      <c r="E953" s="43"/>
      <c r="F953" s="43"/>
      <c r="G953" s="46"/>
      <c r="H953" s="46"/>
      <c r="I953" s="46"/>
      <c r="J953" s="43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15"/>
      <c r="B954" s="20"/>
      <c r="C954" s="20"/>
      <c r="D954" s="20"/>
      <c r="E954" s="27"/>
      <c r="F954" s="27"/>
      <c r="G954" s="28"/>
      <c r="H954" s="28"/>
      <c r="I954" s="28"/>
      <c r="J954" s="27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36"/>
      <c r="B955" s="39"/>
      <c r="C955" s="39"/>
      <c r="D955" s="39"/>
      <c r="E955" s="43"/>
      <c r="F955" s="43"/>
      <c r="G955" s="46"/>
      <c r="H955" s="46"/>
      <c r="I955" s="46"/>
      <c r="J955" s="43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15"/>
      <c r="B956" s="20"/>
      <c r="C956" s="20"/>
      <c r="D956" s="20"/>
      <c r="E956" s="27"/>
      <c r="F956" s="27"/>
      <c r="G956" s="28"/>
      <c r="H956" s="28"/>
      <c r="I956" s="28"/>
      <c r="J956" s="27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36"/>
      <c r="B957" s="39"/>
      <c r="C957" s="39"/>
      <c r="D957" s="39"/>
      <c r="E957" s="43"/>
      <c r="F957" s="43"/>
      <c r="G957" s="46"/>
      <c r="H957" s="46"/>
      <c r="I957" s="46"/>
      <c r="J957" s="43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15"/>
      <c r="B958" s="20"/>
      <c r="C958" s="20"/>
      <c r="D958" s="20"/>
      <c r="E958" s="27"/>
      <c r="F958" s="27"/>
      <c r="G958" s="28"/>
      <c r="H958" s="28"/>
      <c r="I958" s="28"/>
      <c r="J958" s="27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36"/>
      <c r="B959" s="39"/>
      <c r="C959" s="39"/>
      <c r="D959" s="39"/>
      <c r="E959" s="43"/>
      <c r="F959" s="43"/>
      <c r="G959" s="46"/>
      <c r="H959" s="46"/>
      <c r="I959" s="46"/>
      <c r="J959" s="43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15"/>
      <c r="B960" s="20"/>
      <c r="C960" s="20"/>
      <c r="D960" s="20"/>
      <c r="E960" s="27"/>
      <c r="F960" s="27"/>
      <c r="G960" s="28"/>
      <c r="H960" s="28"/>
      <c r="I960" s="28"/>
      <c r="J960" s="27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36"/>
      <c r="B961" s="39"/>
      <c r="C961" s="39"/>
      <c r="D961" s="39"/>
      <c r="E961" s="43"/>
      <c r="F961" s="43"/>
      <c r="G961" s="46"/>
      <c r="H961" s="46"/>
      <c r="I961" s="46"/>
      <c r="J961" s="43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15"/>
      <c r="B962" s="20"/>
      <c r="C962" s="20"/>
      <c r="D962" s="20"/>
      <c r="E962" s="27"/>
      <c r="F962" s="27"/>
      <c r="G962" s="28"/>
      <c r="H962" s="28"/>
      <c r="I962" s="28"/>
      <c r="J962" s="27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36"/>
      <c r="B963" s="39"/>
      <c r="C963" s="39"/>
      <c r="D963" s="39"/>
      <c r="E963" s="43"/>
      <c r="F963" s="43"/>
      <c r="G963" s="46"/>
      <c r="H963" s="46"/>
      <c r="I963" s="46"/>
      <c r="J963" s="43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15"/>
      <c r="B964" s="20"/>
      <c r="C964" s="20"/>
      <c r="D964" s="20"/>
      <c r="E964" s="27"/>
      <c r="F964" s="27"/>
      <c r="G964" s="28"/>
      <c r="H964" s="28"/>
      <c r="I964" s="28"/>
      <c r="J964" s="27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36"/>
      <c r="B965" s="39"/>
      <c r="C965" s="39"/>
      <c r="D965" s="39"/>
      <c r="E965" s="43"/>
      <c r="F965" s="43"/>
      <c r="G965" s="46"/>
      <c r="H965" s="46"/>
      <c r="I965" s="46"/>
      <c r="J965" s="43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15"/>
      <c r="B966" s="20"/>
      <c r="C966" s="20"/>
      <c r="D966" s="20"/>
      <c r="E966" s="27"/>
      <c r="F966" s="27"/>
      <c r="G966" s="28"/>
      <c r="H966" s="28"/>
      <c r="I966" s="28"/>
      <c r="J966" s="27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36"/>
      <c r="B967" s="39"/>
      <c r="C967" s="39"/>
      <c r="D967" s="39"/>
      <c r="E967" s="43"/>
      <c r="F967" s="43"/>
      <c r="G967" s="46"/>
      <c r="H967" s="46"/>
      <c r="I967" s="46"/>
      <c r="J967" s="43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15"/>
      <c r="B968" s="20"/>
      <c r="C968" s="20"/>
      <c r="D968" s="20"/>
      <c r="E968" s="27"/>
      <c r="F968" s="27"/>
      <c r="G968" s="28"/>
      <c r="H968" s="28"/>
      <c r="I968" s="28"/>
      <c r="J968" s="27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36"/>
      <c r="B969" s="39"/>
      <c r="C969" s="39"/>
      <c r="D969" s="39"/>
      <c r="E969" s="43"/>
      <c r="F969" s="43"/>
      <c r="G969" s="46"/>
      <c r="H969" s="46"/>
      <c r="I969" s="46"/>
      <c r="J969" s="43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15"/>
      <c r="B970" s="20"/>
      <c r="C970" s="20"/>
      <c r="D970" s="20"/>
      <c r="E970" s="27"/>
      <c r="F970" s="27"/>
      <c r="G970" s="28"/>
      <c r="H970" s="28"/>
      <c r="I970" s="28"/>
      <c r="J970" s="27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36"/>
      <c r="B971" s="39"/>
      <c r="C971" s="39"/>
      <c r="D971" s="39"/>
      <c r="E971" s="43"/>
      <c r="F971" s="43"/>
      <c r="G971" s="46"/>
      <c r="H971" s="46"/>
      <c r="I971" s="46"/>
      <c r="J971" s="43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15"/>
      <c r="B972" s="20"/>
      <c r="C972" s="20"/>
      <c r="D972" s="20"/>
      <c r="E972" s="27"/>
      <c r="F972" s="27"/>
      <c r="G972" s="28"/>
      <c r="H972" s="28"/>
      <c r="I972" s="28"/>
      <c r="J972" s="27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36"/>
      <c r="B973" s="39"/>
      <c r="C973" s="39"/>
      <c r="D973" s="39"/>
      <c r="E973" s="43"/>
      <c r="F973" s="43"/>
      <c r="G973" s="46"/>
      <c r="H973" s="46"/>
      <c r="I973" s="46"/>
      <c r="J973" s="43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15"/>
      <c r="B974" s="20"/>
      <c r="C974" s="20"/>
      <c r="D974" s="20"/>
      <c r="E974" s="27"/>
      <c r="F974" s="27"/>
      <c r="G974" s="28"/>
      <c r="H974" s="28"/>
      <c r="I974" s="28"/>
      <c r="J974" s="27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36"/>
      <c r="B975" s="39"/>
      <c r="C975" s="39"/>
      <c r="D975" s="39"/>
      <c r="E975" s="43"/>
      <c r="F975" s="43"/>
      <c r="G975" s="46"/>
      <c r="H975" s="46"/>
      <c r="I975" s="46"/>
      <c r="J975" s="43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15"/>
      <c r="B976" s="20"/>
      <c r="C976" s="20"/>
      <c r="D976" s="20"/>
      <c r="E976" s="27"/>
      <c r="F976" s="27"/>
      <c r="G976" s="28"/>
      <c r="H976" s="28"/>
      <c r="I976" s="28"/>
      <c r="J976" s="27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36"/>
      <c r="B977" s="39"/>
      <c r="C977" s="39"/>
      <c r="D977" s="39"/>
      <c r="E977" s="43"/>
      <c r="F977" s="43"/>
      <c r="G977" s="46"/>
      <c r="H977" s="46"/>
      <c r="I977" s="46"/>
      <c r="J977" s="43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15"/>
      <c r="B978" s="20"/>
      <c r="C978" s="20"/>
      <c r="D978" s="20"/>
      <c r="E978" s="27"/>
      <c r="F978" s="27"/>
      <c r="G978" s="28"/>
      <c r="H978" s="28"/>
      <c r="I978" s="28"/>
      <c r="J978" s="27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36"/>
      <c r="B979" s="39"/>
      <c r="C979" s="39"/>
      <c r="D979" s="39"/>
      <c r="E979" s="43"/>
      <c r="F979" s="43"/>
      <c r="G979" s="46"/>
      <c r="H979" s="46"/>
      <c r="I979" s="46"/>
      <c r="J979" s="43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15"/>
      <c r="B980" s="20"/>
      <c r="C980" s="20"/>
      <c r="D980" s="20"/>
      <c r="E980" s="27"/>
      <c r="F980" s="27"/>
      <c r="G980" s="28"/>
      <c r="H980" s="28"/>
      <c r="I980" s="28"/>
      <c r="J980" s="27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36"/>
      <c r="B981" s="39"/>
      <c r="C981" s="39"/>
      <c r="D981" s="39"/>
      <c r="E981" s="43"/>
      <c r="F981" s="43"/>
      <c r="G981" s="46"/>
      <c r="H981" s="46"/>
      <c r="I981" s="46"/>
      <c r="J981" s="43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15"/>
      <c r="B982" s="20"/>
      <c r="C982" s="20"/>
      <c r="D982" s="20"/>
      <c r="E982" s="27"/>
      <c r="F982" s="27"/>
      <c r="G982" s="28"/>
      <c r="H982" s="28"/>
      <c r="I982" s="28"/>
      <c r="J982" s="27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36"/>
      <c r="B983" s="39"/>
      <c r="C983" s="39"/>
      <c r="D983" s="39"/>
      <c r="E983" s="43"/>
      <c r="F983" s="43"/>
      <c r="G983" s="46"/>
      <c r="H983" s="46"/>
      <c r="I983" s="46"/>
      <c r="J983" s="43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15"/>
      <c r="B984" s="20"/>
      <c r="C984" s="20"/>
      <c r="D984" s="20"/>
      <c r="E984" s="27"/>
      <c r="F984" s="27"/>
      <c r="G984" s="28"/>
      <c r="H984" s="28"/>
      <c r="I984" s="28"/>
      <c r="J984" s="27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36"/>
      <c r="B985" s="39"/>
      <c r="C985" s="39"/>
      <c r="D985" s="39"/>
      <c r="E985" s="43"/>
      <c r="F985" s="43"/>
      <c r="G985" s="46"/>
      <c r="H985" s="46"/>
      <c r="I985" s="46"/>
      <c r="J985" s="43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15"/>
      <c r="B986" s="20"/>
      <c r="C986" s="20"/>
      <c r="D986" s="20"/>
      <c r="E986" s="27"/>
      <c r="F986" s="27"/>
      <c r="G986" s="28"/>
      <c r="H986" s="28"/>
      <c r="I986" s="28"/>
      <c r="J986" s="27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36"/>
      <c r="B987" s="39"/>
      <c r="C987" s="39"/>
      <c r="D987" s="39"/>
      <c r="E987" s="43"/>
      <c r="F987" s="43"/>
      <c r="G987" s="46"/>
      <c r="H987" s="46"/>
      <c r="I987" s="46"/>
      <c r="J987" s="43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15"/>
      <c r="B988" s="20"/>
      <c r="C988" s="20"/>
      <c r="D988" s="20"/>
      <c r="E988" s="27"/>
      <c r="F988" s="27"/>
      <c r="G988" s="28"/>
      <c r="H988" s="28"/>
      <c r="I988" s="28"/>
      <c r="J988" s="27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36"/>
      <c r="B989" s="39"/>
      <c r="C989" s="39"/>
      <c r="D989" s="39"/>
      <c r="E989" s="43"/>
      <c r="F989" s="43"/>
      <c r="G989" s="46"/>
      <c r="H989" s="46"/>
      <c r="I989" s="46"/>
      <c r="J989" s="43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15"/>
      <c r="B990" s="20"/>
      <c r="C990" s="20"/>
      <c r="D990" s="20"/>
      <c r="E990" s="27"/>
      <c r="F990" s="27"/>
      <c r="G990" s="28"/>
      <c r="H990" s="28"/>
      <c r="I990" s="28"/>
      <c r="J990" s="27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36"/>
      <c r="B991" s="39"/>
      <c r="C991" s="39"/>
      <c r="D991" s="39"/>
      <c r="E991" s="43"/>
      <c r="F991" s="43"/>
      <c r="G991" s="46"/>
      <c r="H991" s="46"/>
      <c r="I991" s="46"/>
      <c r="J991" s="43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15"/>
      <c r="B992" s="20"/>
      <c r="C992" s="20"/>
      <c r="D992" s="20"/>
      <c r="E992" s="27"/>
      <c r="F992" s="27"/>
      <c r="G992" s="28"/>
      <c r="H992" s="28"/>
      <c r="I992" s="28"/>
      <c r="J992" s="27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36"/>
      <c r="B993" s="39"/>
      <c r="C993" s="39"/>
      <c r="D993" s="39"/>
      <c r="E993" s="43"/>
      <c r="F993" s="43"/>
      <c r="G993" s="46"/>
      <c r="H993" s="46"/>
      <c r="I993" s="46"/>
      <c r="J993" s="43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15"/>
      <c r="B994" s="20"/>
      <c r="C994" s="20"/>
      <c r="D994" s="20"/>
      <c r="E994" s="27"/>
      <c r="F994" s="27"/>
      <c r="G994" s="28"/>
      <c r="H994" s="28"/>
      <c r="I994" s="28"/>
      <c r="J994" s="27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36"/>
      <c r="B995" s="39"/>
      <c r="C995" s="39"/>
      <c r="D995" s="39"/>
      <c r="E995" s="43"/>
      <c r="F995" s="43"/>
      <c r="G995" s="46"/>
      <c r="H995" s="46"/>
      <c r="I995" s="46"/>
      <c r="J995" s="43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15"/>
      <c r="B996" s="20"/>
      <c r="C996" s="20"/>
      <c r="D996" s="20"/>
      <c r="E996" s="27"/>
      <c r="F996" s="27"/>
      <c r="G996" s="28"/>
      <c r="H996" s="28"/>
      <c r="I996" s="28"/>
      <c r="J996" s="27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36"/>
      <c r="B997" s="39"/>
      <c r="C997" s="39"/>
      <c r="D997" s="39"/>
      <c r="E997" s="43"/>
      <c r="F997" s="43"/>
      <c r="G997" s="46"/>
      <c r="H997" s="46"/>
      <c r="I997" s="46"/>
      <c r="J997" s="43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15"/>
      <c r="B998" s="20"/>
      <c r="C998" s="20"/>
      <c r="D998" s="20"/>
      <c r="E998" s="27"/>
      <c r="F998" s="27"/>
      <c r="G998" s="28"/>
      <c r="H998" s="28"/>
      <c r="I998" s="28"/>
      <c r="J998" s="27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36"/>
      <c r="B999" s="39"/>
      <c r="C999" s="39"/>
      <c r="D999" s="39"/>
      <c r="E999" s="43"/>
      <c r="F999" s="43"/>
      <c r="G999" s="46"/>
      <c r="H999" s="46"/>
      <c r="I999" s="46"/>
      <c r="J999" s="43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autoFilter ref="$A$1:$L$299">
    <sortState ref="A1:L299">
      <sortCondition ref="G1:G299"/>
      <sortCondition ref="C1:C299"/>
      <sortCondition ref="B1:B299"/>
      <sortCondition ref="L1:L299"/>
    </sortState>
  </autoFilter>
  <conditionalFormatting sqref="F2:F299">
    <cfRule type="cellIs" dxfId="4" priority="1" operator="equal">
      <formula>"MISSING"</formula>
    </cfRule>
  </conditionalFormatting>
  <conditionalFormatting sqref="G2:G299">
    <cfRule type="cellIs" dxfId="5" priority="2" operator="equal">
      <formula>"INACTIVE"</formula>
    </cfRule>
  </conditionalFormatting>
  <conditionalFormatting sqref="G2:G299">
    <cfRule type="cellIs" dxfId="6" priority="3" operator="equal">
      <formula>"IN PROGRESS"</formula>
    </cfRule>
  </conditionalFormatting>
  <conditionalFormatting sqref="G2:G299">
    <cfRule type="cellIs" dxfId="7" priority="4" operator="equal">
      <formula>"?"</formula>
    </cfRule>
  </conditionalFormatting>
  <conditionalFormatting sqref="G2:G299">
    <cfRule type="cellIs" dxfId="8" priority="5" operator="equal">
      <formula>"EXPIRED"</formula>
    </cfRule>
  </conditionalFormatting>
  <conditionalFormatting sqref="G2:G299">
    <cfRule type="cellIs" dxfId="9" priority="6" operator="greaterThan">
      <formula>90</formula>
    </cfRule>
  </conditionalFormatting>
  <conditionalFormatting sqref="G2:G299">
    <cfRule type="cellIs" dxfId="10" priority="7" operator="lessThanOrEqual">
      <formula>30</formula>
    </cfRule>
  </conditionalFormatting>
  <conditionalFormatting sqref="G2:G299">
    <cfRule type="colorScale" priority="8">
      <colorScale>
        <cfvo type="formula" val="30"/>
        <cfvo type="formula" val="60"/>
        <cfvo type="formula" val="90"/>
        <color rgb="FFE06666"/>
        <color rgb="FFFFE599"/>
        <color rgb="FF57BB8A"/>
      </colorScale>
    </cfRule>
  </conditionalFormatting>
  <conditionalFormatting sqref="H1:H299">
    <cfRule type="cellIs" dxfId="11" priority="9" operator="equal">
      <formula>"ACTIVE"</formula>
    </cfRule>
  </conditionalFormatting>
  <conditionalFormatting sqref="H1:H299">
    <cfRule type="cellIs" dxfId="12" priority="10" operator="equal">
      <formula>"INACTIVE"</formula>
    </cfRule>
  </conditionalFormatting>
  <conditionalFormatting sqref="H1:H299">
    <cfRule type="cellIs" dxfId="13" priority="11" operator="equal">
      <formula>"IN PROGRESS"</formula>
    </cfRule>
  </conditionalFormatting>
  <conditionalFormatting sqref="H1:H299">
    <cfRule type="cellIs" dxfId="14" priority="12" operator="equal">
      <formula>"FOR RENEWAL"</formula>
    </cfRule>
  </conditionalFormatting>
  <conditionalFormatting sqref="H1:H299">
    <cfRule type="containsBlanks" dxfId="9" priority="13">
      <formula>LEN(TRIM(H1))=0</formula>
    </cfRule>
  </conditionalFormatting>
  <conditionalFormatting sqref="A2:A299">
    <cfRule type="cellIs" dxfId="15" priority="14" operator="equal">
      <formula>"Saint Honore"</formula>
    </cfRule>
  </conditionalFormatting>
  <conditionalFormatting sqref="A2:A299">
    <cfRule type="cellIs" dxfId="16" priority="15" operator="equal">
      <formula>"Saint Dominique"</formula>
    </cfRule>
  </conditionalFormatting>
  <conditionalFormatting sqref="A2:A299">
    <cfRule type="cellIs" dxfId="17" priority="16" operator="equal">
      <formula>"One Madison Place"</formula>
    </cfRule>
  </conditionalFormatting>
  <conditionalFormatting sqref="A2:A299">
    <cfRule type="cellIs" dxfId="18" priority="17" operator="equal">
      <formula>"Lafayette"</formula>
    </cfRule>
  </conditionalFormatting>
  <conditionalFormatting sqref="A2:A299">
    <cfRule type="cellIs" dxfId="19" priority="18" operator="equal">
      <formula>"The Palladium"</formula>
    </cfRule>
  </conditionalFormatting>
  <conditionalFormatting sqref="A2:A299">
    <cfRule type="cellIs" dxfId="12" priority="19" operator="equal">
      <formula>"Avida Tower 1"</formula>
    </cfRule>
  </conditionalFormatting>
  <conditionalFormatting sqref="A2:A299">
    <cfRule type="cellIs" dxfId="20" priority="20" operator="equal">
      <formula>"Avida Tower 2"</formula>
    </cfRule>
  </conditionalFormatting>
  <conditionalFormatting sqref="A2:A299">
    <cfRule type="cellIs" dxfId="21" priority="21" operator="equal">
      <formula>"Avida Tower 3"</formula>
    </cfRule>
  </conditionalFormatting>
  <conditionalFormatting sqref="A2:A299">
    <cfRule type="cellIs" dxfId="22" priority="22" operator="equal">
      <formula>"Avida Storeys 1"</formula>
    </cfRule>
  </conditionalFormatting>
  <conditionalFormatting sqref="A2:A299">
    <cfRule type="cellIs" dxfId="23" priority="23" operator="equal">
      <formula>"Avida Storeys 2"</formula>
    </cfRule>
  </conditionalFormatting>
  <conditionalFormatting sqref="A2:A299">
    <cfRule type="cellIs" dxfId="24" priority="24" operator="equal">
      <formula>"Bernwood Tower"</formula>
    </cfRule>
  </conditionalFormatting>
  <conditionalFormatting sqref="A2:A299">
    <cfRule type="cellIs" dxfId="25" priority="25" operator="equal">
      <formula>"Peoples Hotel"</formula>
    </cfRule>
  </conditionalFormatting>
  <conditionalFormatting sqref="A2:A299">
    <cfRule type="cellIs" dxfId="26" priority="26" operator="equal">
      <formula>"One Spatial"</formula>
    </cfRule>
  </conditionalFormatting>
  <conditionalFormatting sqref="A2:A299">
    <cfRule type="cellIs" dxfId="27" priority="27" operator="equal">
      <formula>"SMDC"</formula>
    </cfRule>
  </conditionalFormatting>
  <conditionalFormatting sqref="A2:A299">
    <cfRule type="cellIs" dxfId="28" priority="28" operator="equal">
      <formula>"WV Towers"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7.38"/>
    <col customWidth="1" min="2" max="3" width="15.13"/>
    <col customWidth="1" min="4" max="4" width="18.0"/>
    <col customWidth="1" min="5" max="5" width="27.38"/>
    <col customWidth="1" min="6" max="6" width="34.88"/>
    <col customWidth="1" min="7" max="7" width="20.13"/>
    <col customWidth="1" min="8" max="8" width="16.0"/>
    <col customWidth="1" min="9" max="9" width="18.63"/>
    <col customWidth="1" min="10" max="10" width="19.13"/>
    <col customWidth="1" min="11" max="11" width="31.0"/>
    <col customWidth="1" min="12" max="12" width="35.13"/>
    <col customWidth="1" hidden="1" min="13" max="13" width="21.0"/>
    <col customWidth="1" min="14" max="14" width="21.0"/>
    <col customWidth="1" min="15" max="15" width="29.63"/>
    <col customWidth="1" min="16" max="16" width="19.38"/>
    <col customWidth="1" min="17" max="19" width="22.38"/>
    <col customWidth="1" min="20" max="38" width="23.0"/>
    <col customWidth="1" min="39" max="48" width="12.5"/>
  </cols>
  <sheetData>
    <row r="1" ht="15.75" customHeight="1">
      <c r="A1" s="9" t="s">
        <v>0</v>
      </c>
      <c r="B1" s="9" t="s">
        <v>6</v>
      </c>
      <c r="C1" s="11" t="s">
        <v>1</v>
      </c>
      <c r="D1" s="13" t="s">
        <v>10</v>
      </c>
      <c r="E1" s="11" t="s">
        <v>2</v>
      </c>
      <c r="F1" s="14" t="s">
        <v>11</v>
      </c>
      <c r="G1" s="16" t="s">
        <v>16</v>
      </c>
      <c r="H1" s="11" t="s">
        <v>3</v>
      </c>
      <c r="I1" s="19" t="s">
        <v>4</v>
      </c>
      <c r="J1" s="19" t="s">
        <v>5</v>
      </c>
      <c r="K1" s="22" t="s">
        <v>33</v>
      </c>
      <c r="L1" s="24" t="s">
        <v>9</v>
      </c>
      <c r="M1" s="24" t="s">
        <v>38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9" t="s">
        <v>29</v>
      </c>
      <c r="U1" s="31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37"/>
      <c r="AN1" s="37"/>
      <c r="AO1" s="37"/>
      <c r="AP1" s="37"/>
      <c r="AQ1" s="37"/>
      <c r="AR1" s="37"/>
      <c r="AS1" s="37"/>
      <c r="AT1" s="37"/>
      <c r="AU1" s="37"/>
      <c r="AV1" s="37"/>
    </row>
    <row r="2">
      <c r="A2" s="42" t="s">
        <v>67</v>
      </c>
      <c r="B2" s="42" t="s">
        <v>48</v>
      </c>
      <c r="C2" s="44" t="s">
        <v>69</v>
      </c>
      <c r="D2" s="45" t="s">
        <v>72</v>
      </c>
      <c r="E2" s="45" t="s">
        <v>74</v>
      </c>
      <c r="F2" s="52" t="s">
        <v>75</v>
      </c>
      <c r="G2" s="53" t="s">
        <v>82</v>
      </c>
      <c r="H2" s="45" t="s">
        <v>83</v>
      </c>
      <c r="I2" s="55">
        <v>45730.0</v>
      </c>
      <c r="J2" s="55">
        <v>45914.0</v>
      </c>
      <c r="K2" s="56"/>
      <c r="L2" s="58" t="s">
        <v>84</v>
      </c>
      <c r="M2" s="59"/>
      <c r="N2" s="58" t="s">
        <v>69</v>
      </c>
      <c r="O2" s="58" t="s">
        <v>85</v>
      </c>
      <c r="P2" s="67" t="s">
        <v>69</v>
      </c>
      <c r="Q2" s="69"/>
      <c r="R2" s="69"/>
      <c r="S2" s="69"/>
      <c r="T2" s="69"/>
      <c r="U2" s="70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0"/>
      <c r="AN2" s="60"/>
      <c r="AO2" s="60"/>
      <c r="AP2" s="60"/>
      <c r="AQ2" s="60"/>
      <c r="AR2" s="60"/>
      <c r="AS2" s="60"/>
      <c r="AT2" s="60"/>
      <c r="AU2" s="60"/>
      <c r="AV2" s="60"/>
    </row>
    <row r="3" ht="15.75" customHeight="1">
      <c r="A3" s="42" t="s">
        <v>67</v>
      </c>
      <c r="B3" s="42" t="s">
        <v>48</v>
      </c>
      <c r="C3" s="42" t="s">
        <v>90</v>
      </c>
      <c r="D3" s="45" t="s">
        <v>87</v>
      </c>
      <c r="E3" s="45" t="s">
        <v>91</v>
      </c>
      <c r="F3" s="74" t="s">
        <v>92</v>
      </c>
      <c r="G3" s="53"/>
      <c r="H3" s="45" t="s">
        <v>58</v>
      </c>
      <c r="I3" s="55">
        <v>45859.0</v>
      </c>
      <c r="J3" s="55">
        <v>46224.0</v>
      </c>
      <c r="K3" s="56"/>
      <c r="L3" s="75"/>
      <c r="M3" s="69"/>
      <c r="N3" s="76" t="s">
        <v>90</v>
      </c>
      <c r="O3" s="76" t="s">
        <v>96</v>
      </c>
      <c r="P3" s="77" t="s">
        <v>90</v>
      </c>
      <c r="Q3" s="69"/>
      <c r="R3" s="69"/>
      <c r="S3" s="69"/>
      <c r="T3" s="69"/>
      <c r="U3" s="78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0"/>
      <c r="AN3" s="60"/>
      <c r="AO3" s="60"/>
      <c r="AP3" s="60"/>
      <c r="AQ3" s="60"/>
      <c r="AR3" s="60"/>
      <c r="AS3" s="60"/>
      <c r="AT3" s="60"/>
      <c r="AU3" s="60"/>
      <c r="AV3" s="60"/>
    </row>
    <row r="4" ht="15.75" customHeight="1">
      <c r="A4" s="42" t="s">
        <v>67</v>
      </c>
      <c r="B4" s="42" t="s">
        <v>48</v>
      </c>
      <c r="C4" s="42" t="s">
        <v>100</v>
      </c>
      <c r="D4" s="45"/>
      <c r="E4" s="45"/>
      <c r="F4" s="74"/>
      <c r="G4" s="53"/>
      <c r="H4" s="45"/>
      <c r="I4" s="55"/>
      <c r="J4" s="55"/>
      <c r="K4" s="56"/>
      <c r="L4" s="58" t="s">
        <v>101</v>
      </c>
      <c r="M4" s="69"/>
      <c r="N4" s="58" t="s">
        <v>100</v>
      </c>
      <c r="O4" s="76" t="s">
        <v>102</v>
      </c>
      <c r="P4" s="77" t="s">
        <v>100</v>
      </c>
      <c r="Q4" s="69"/>
      <c r="R4" s="69"/>
      <c r="S4" s="69"/>
      <c r="T4" s="69"/>
      <c r="U4" s="78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0"/>
      <c r="AN4" s="60"/>
      <c r="AO4" s="60"/>
      <c r="AP4" s="60"/>
      <c r="AQ4" s="60"/>
      <c r="AR4" s="60"/>
      <c r="AS4" s="60"/>
      <c r="AT4" s="60"/>
      <c r="AU4" s="60"/>
      <c r="AV4" s="60"/>
    </row>
    <row r="5">
      <c r="A5" s="42" t="s">
        <v>67</v>
      </c>
      <c r="B5" s="42" t="s">
        <v>104</v>
      </c>
      <c r="C5" s="44" t="s">
        <v>108</v>
      </c>
      <c r="D5" s="45" t="s">
        <v>51</v>
      </c>
      <c r="E5" s="45" t="s">
        <v>111</v>
      </c>
      <c r="F5" s="52" t="s">
        <v>114</v>
      </c>
      <c r="G5" s="87">
        <v>6.39171228861E11</v>
      </c>
      <c r="H5" s="45" t="s">
        <v>83</v>
      </c>
      <c r="I5" s="55">
        <v>45456.0</v>
      </c>
      <c r="J5" s="55">
        <v>45821.0</v>
      </c>
      <c r="K5" s="56"/>
      <c r="L5" s="58" t="s">
        <v>116</v>
      </c>
      <c r="M5" s="59"/>
      <c r="N5" s="88" t="s">
        <v>108</v>
      </c>
      <c r="O5" s="58" t="s">
        <v>117</v>
      </c>
      <c r="P5" s="44"/>
      <c r="Q5" s="69"/>
      <c r="R5" s="69"/>
      <c r="S5" s="69"/>
      <c r="T5" s="69"/>
      <c r="U5" s="70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60"/>
      <c r="AN5" s="60"/>
      <c r="AO5" s="60"/>
      <c r="AP5" s="60"/>
      <c r="AQ5" s="60"/>
      <c r="AR5" s="60"/>
      <c r="AS5" s="60"/>
      <c r="AT5" s="60"/>
      <c r="AU5" s="60"/>
      <c r="AV5" s="60"/>
    </row>
    <row r="6" ht="15.75" customHeight="1">
      <c r="A6" s="42" t="s">
        <v>67</v>
      </c>
      <c r="B6" s="42" t="s">
        <v>104</v>
      </c>
      <c r="C6" s="44" t="s">
        <v>125</v>
      </c>
      <c r="D6" s="42"/>
      <c r="E6" s="42"/>
      <c r="F6" s="74"/>
      <c r="G6" s="53"/>
      <c r="H6" s="94"/>
      <c r="I6" s="55"/>
      <c r="J6" s="55"/>
      <c r="K6" s="56"/>
      <c r="L6" s="75"/>
      <c r="M6" s="69"/>
      <c r="N6" s="96" t="s">
        <v>125</v>
      </c>
      <c r="O6" s="69"/>
      <c r="P6" s="44"/>
      <c r="Q6" s="69"/>
      <c r="R6" s="69"/>
      <c r="S6" s="69"/>
      <c r="T6" s="69"/>
      <c r="U6" s="97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  <c r="AN6" s="60"/>
      <c r="AO6" s="60"/>
      <c r="AP6" s="60"/>
      <c r="AQ6" s="60"/>
      <c r="AR6" s="60"/>
      <c r="AS6" s="60"/>
      <c r="AT6" s="60"/>
      <c r="AU6" s="60"/>
      <c r="AV6" s="60"/>
    </row>
    <row r="7" ht="15.75" customHeight="1">
      <c r="A7" s="42" t="s">
        <v>67</v>
      </c>
      <c r="B7" s="42" t="s">
        <v>104</v>
      </c>
      <c r="C7" s="44" t="s">
        <v>133</v>
      </c>
      <c r="D7" s="42" t="s">
        <v>87</v>
      </c>
      <c r="E7" s="42" t="s">
        <v>134</v>
      </c>
      <c r="F7" s="52" t="s">
        <v>135</v>
      </c>
      <c r="G7" s="53">
        <v>6.39189012626E11</v>
      </c>
      <c r="H7" s="94" t="s">
        <v>83</v>
      </c>
      <c r="I7" s="55">
        <v>45503.0</v>
      </c>
      <c r="J7" s="55">
        <v>45868.0</v>
      </c>
      <c r="K7" s="56"/>
      <c r="L7" s="75" t="s">
        <v>142</v>
      </c>
      <c r="M7" s="69"/>
      <c r="N7" s="103"/>
      <c r="O7" s="69"/>
      <c r="P7" s="44"/>
      <c r="Q7" s="69"/>
      <c r="R7" s="69"/>
      <c r="S7" s="69"/>
      <c r="T7" s="69"/>
      <c r="U7" s="97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ht="15.75" customHeight="1">
      <c r="A8" s="42" t="s">
        <v>67</v>
      </c>
      <c r="B8" s="42" t="s">
        <v>104</v>
      </c>
      <c r="C8" s="42" t="s">
        <v>149</v>
      </c>
      <c r="D8" s="42" t="s">
        <v>51</v>
      </c>
      <c r="E8" s="42" t="s">
        <v>150</v>
      </c>
      <c r="F8" s="105" t="s">
        <v>151</v>
      </c>
      <c r="G8" s="53">
        <v>6.39054738567E11</v>
      </c>
      <c r="H8" s="94" t="s">
        <v>83</v>
      </c>
      <c r="I8" s="106">
        <v>45579.0</v>
      </c>
      <c r="J8" s="106">
        <v>45944.0</v>
      </c>
      <c r="K8" s="107"/>
      <c r="L8" s="75" t="s">
        <v>153</v>
      </c>
      <c r="M8" s="59"/>
      <c r="N8" s="75" t="s">
        <v>149</v>
      </c>
      <c r="O8" s="59"/>
      <c r="P8" s="42"/>
      <c r="Q8" s="59"/>
      <c r="R8" s="59"/>
      <c r="S8" s="59"/>
      <c r="T8" s="59"/>
      <c r="U8" s="70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ht="15.75" customHeight="1">
      <c r="A9" s="42" t="s">
        <v>67</v>
      </c>
      <c r="B9" s="42" t="s">
        <v>48</v>
      </c>
      <c r="C9" s="42" t="s">
        <v>160</v>
      </c>
      <c r="D9" s="42" t="s">
        <v>87</v>
      </c>
      <c r="E9" s="42" t="s">
        <v>161</v>
      </c>
      <c r="F9" s="108" t="s">
        <v>162</v>
      </c>
      <c r="G9" s="53"/>
      <c r="H9" s="94" t="s">
        <v>83</v>
      </c>
      <c r="I9" s="55">
        <v>45566.0</v>
      </c>
      <c r="J9" s="55">
        <v>45931.0</v>
      </c>
      <c r="K9" s="56"/>
      <c r="L9" s="75" t="s">
        <v>164</v>
      </c>
      <c r="M9" s="69"/>
      <c r="N9" s="58"/>
      <c r="O9" s="69"/>
      <c r="P9" s="94"/>
      <c r="Q9" s="69"/>
      <c r="R9" s="69"/>
      <c r="S9" s="69"/>
      <c r="T9" s="69"/>
      <c r="U9" s="10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ht="15.75" customHeight="1">
      <c r="A10" s="42" t="s">
        <v>170</v>
      </c>
      <c r="B10" s="42" t="s">
        <v>48</v>
      </c>
      <c r="C10" s="42" t="s">
        <v>171</v>
      </c>
      <c r="D10" s="42" t="s">
        <v>72</v>
      </c>
      <c r="E10" s="42" t="s">
        <v>172</v>
      </c>
      <c r="F10" s="52" t="s">
        <v>173</v>
      </c>
      <c r="G10" s="53" t="s">
        <v>175</v>
      </c>
      <c r="H10" s="94" t="s">
        <v>83</v>
      </c>
      <c r="I10" s="55">
        <v>45737.0</v>
      </c>
      <c r="J10" s="55">
        <v>46102.0</v>
      </c>
      <c r="K10" s="56"/>
      <c r="L10" s="69"/>
      <c r="M10" s="69"/>
      <c r="N10" s="76" t="s">
        <v>171</v>
      </c>
      <c r="O10" s="76" t="s">
        <v>176</v>
      </c>
      <c r="P10" s="77" t="s">
        <v>171</v>
      </c>
      <c r="Q10" s="69"/>
      <c r="R10" s="69"/>
      <c r="S10" s="69"/>
      <c r="T10" s="69"/>
      <c r="U10" s="112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ht="15.75" customHeight="1">
      <c r="A11" s="42" t="s">
        <v>170</v>
      </c>
      <c r="B11" s="42" t="s">
        <v>48</v>
      </c>
      <c r="C11" s="42" t="s">
        <v>184</v>
      </c>
      <c r="D11" s="42"/>
      <c r="E11" s="42"/>
      <c r="F11" s="115"/>
      <c r="G11" s="53"/>
      <c r="H11" s="94"/>
      <c r="I11" s="106"/>
      <c r="J11" s="106"/>
      <c r="K11" s="107"/>
      <c r="L11" s="75"/>
      <c r="M11" s="69"/>
      <c r="N11" s="88" t="s">
        <v>184</v>
      </c>
      <c r="O11" s="76" t="s">
        <v>185</v>
      </c>
      <c r="P11" s="77" t="s">
        <v>184</v>
      </c>
      <c r="Q11" s="59"/>
      <c r="R11" s="59"/>
      <c r="S11" s="59"/>
      <c r="T11" s="59"/>
      <c r="U11" s="116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  <c r="AQ11" s="60"/>
      <c r="AR11" s="60"/>
      <c r="AS11" s="60"/>
      <c r="AT11" s="60"/>
      <c r="AU11" s="60"/>
      <c r="AV11" s="60"/>
    </row>
    <row r="12" ht="15.75" customHeight="1">
      <c r="A12" s="42" t="s">
        <v>170</v>
      </c>
      <c r="B12" s="42" t="s">
        <v>48</v>
      </c>
      <c r="C12" s="42" t="s">
        <v>192</v>
      </c>
      <c r="D12" s="42" t="s">
        <v>72</v>
      </c>
      <c r="E12" s="42" t="s">
        <v>193</v>
      </c>
      <c r="F12" s="105" t="s">
        <v>194</v>
      </c>
      <c r="G12" s="53"/>
      <c r="H12" s="94" t="s">
        <v>83</v>
      </c>
      <c r="I12" s="106">
        <v>45673.0</v>
      </c>
      <c r="J12" s="106">
        <v>46038.0</v>
      </c>
      <c r="K12" s="107"/>
      <c r="L12" s="58"/>
      <c r="M12" s="59"/>
      <c r="N12" s="75" t="s">
        <v>195</v>
      </c>
      <c r="O12" s="88" t="s">
        <v>198</v>
      </c>
      <c r="P12" s="77" t="s">
        <v>192</v>
      </c>
      <c r="Q12" s="59"/>
      <c r="R12" s="59"/>
      <c r="S12" s="59"/>
      <c r="T12" s="69"/>
      <c r="U12" s="70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0"/>
      <c r="AN12" s="60"/>
      <c r="AO12" s="60"/>
      <c r="AP12" s="60"/>
      <c r="AQ12" s="60"/>
      <c r="AR12" s="60"/>
      <c r="AS12" s="60"/>
      <c r="AT12" s="60"/>
      <c r="AU12" s="60"/>
      <c r="AV12" s="60"/>
    </row>
    <row r="13" ht="15.75" customHeight="1">
      <c r="A13" s="42" t="s">
        <v>170</v>
      </c>
      <c r="B13" s="42" t="s">
        <v>48</v>
      </c>
      <c r="C13" s="42" t="s">
        <v>206</v>
      </c>
      <c r="D13" s="42" t="s">
        <v>72</v>
      </c>
      <c r="E13" s="42" t="s">
        <v>207</v>
      </c>
      <c r="F13" s="52" t="s">
        <v>208</v>
      </c>
      <c r="G13" s="53">
        <v>6.39156392337E11</v>
      </c>
      <c r="H13" s="94" t="s">
        <v>83</v>
      </c>
      <c r="I13" s="55">
        <v>45714.0</v>
      </c>
      <c r="J13" s="55">
        <v>45895.0</v>
      </c>
      <c r="K13" s="56"/>
      <c r="L13" s="58" t="s">
        <v>210</v>
      </c>
      <c r="M13" s="69"/>
      <c r="N13" s="58" t="s">
        <v>206</v>
      </c>
      <c r="O13" s="76" t="s">
        <v>211</v>
      </c>
      <c r="P13" s="77" t="s">
        <v>206</v>
      </c>
      <c r="Q13" s="69"/>
      <c r="R13" s="69"/>
      <c r="S13" s="69"/>
      <c r="T13" s="59"/>
      <c r="U13" s="70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ht="15.75" customHeight="1">
      <c r="A14" s="42" t="s">
        <v>170</v>
      </c>
      <c r="B14" s="42" t="s">
        <v>48</v>
      </c>
      <c r="C14" s="42" t="s">
        <v>218</v>
      </c>
      <c r="D14" s="42" t="s">
        <v>72</v>
      </c>
      <c r="E14" s="42" t="s">
        <v>219</v>
      </c>
      <c r="F14" s="52" t="s">
        <v>220</v>
      </c>
      <c r="G14" s="53"/>
      <c r="H14" s="94" t="s">
        <v>83</v>
      </c>
      <c r="I14" s="106">
        <v>45245.0</v>
      </c>
      <c r="J14" s="121" t="s">
        <v>221</v>
      </c>
      <c r="K14" s="122"/>
      <c r="L14" s="59"/>
      <c r="M14" s="59"/>
      <c r="N14" s="58" t="s">
        <v>218</v>
      </c>
      <c r="O14" s="88" t="s">
        <v>226</v>
      </c>
      <c r="P14" s="77" t="s">
        <v>218</v>
      </c>
      <c r="Q14" s="59"/>
      <c r="R14" s="59"/>
      <c r="S14" s="59"/>
      <c r="T14" s="69"/>
      <c r="U14" s="70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ht="15.75" customHeight="1">
      <c r="A15" s="42" t="s">
        <v>170</v>
      </c>
      <c r="B15" s="42" t="s">
        <v>48</v>
      </c>
      <c r="C15" s="42" t="s">
        <v>236</v>
      </c>
      <c r="D15" s="42" t="s">
        <v>72</v>
      </c>
      <c r="E15" s="42" t="s">
        <v>237</v>
      </c>
      <c r="F15" s="105" t="s">
        <v>238</v>
      </c>
      <c r="G15" s="53">
        <v>6.39610926625E11</v>
      </c>
      <c r="H15" s="94" t="s">
        <v>83</v>
      </c>
      <c r="I15" s="55">
        <v>45818.0</v>
      </c>
      <c r="J15" s="55">
        <v>46183.0</v>
      </c>
      <c r="K15" s="139"/>
      <c r="L15" s="75" t="s">
        <v>241</v>
      </c>
      <c r="M15" s="69"/>
      <c r="N15" s="76" t="s">
        <v>246</v>
      </c>
      <c r="O15" s="88" t="s">
        <v>247</v>
      </c>
      <c r="P15" s="77" t="s">
        <v>236</v>
      </c>
      <c r="Q15" s="69"/>
      <c r="R15" s="69"/>
      <c r="S15" s="69"/>
      <c r="T15" s="69"/>
      <c r="U15" s="70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ht="15.75" customHeight="1">
      <c r="A16" s="42" t="s">
        <v>30</v>
      </c>
      <c r="B16" s="42" t="s">
        <v>48</v>
      </c>
      <c r="C16" s="42" t="s">
        <v>254</v>
      </c>
      <c r="D16" s="42" t="s">
        <v>72</v>
      </c>
      <c r="E16" s="42" t="s">
        <v>161</v>
      </c>
      <c r="F16" s="149" t="s">
        <v>162</v>
      </c>
      <c r="G16" s="53"/>
      <c r="H16" s="94" t="s">
        <v>83</v>
      </c>
      <c r="I16" s="55">
        <v>45525.0</v>
      </c>
      <c r="J16" s="55">
        <v>45890.0</v>
      </c>
      <c r="K16" s="56"/>
      <c r="L16" s="75"/>
      <c r="M16" s="69"/>
      <c r="N16" s="76" t="s">
        <v>254</v>
      </c>
      <c r="O16" s="76" t="s">
        <v>258</v>
      </c>
      <c r="P16" s="77" t="s">
        <v>254</v>
      </c>
      <c r="Q16" s="69"/>
      <c r="R16" s="69"/>
      <c r="S16" s="69"/>
      <c r="T16" s="69"/>
      <c r="U16" s="112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ht="15.75" customHeight="1">
      <c r="A17" s="42" t="s">
        <v>30</v>
      </c>
      <c r="B17" s="42" t="s">
        <v>48</v>
      </c>
      <c r="C17" s="42" t="s">
        <v>263</v>
      </c>
      <c r="D17" s="42" t="s">
        <v>72</v>
      </c>
      <c r="E17" s="42" t="s">
        <v>264</v>
      </c>
      <c r="F17" s="105" t="s">
        <v>265</v>
      </c>
      <c r="G17" s="53">
        <v>6.39263194338E11</v>
      </c>
      <c r="H17" s="94" t="s">
        <v>83</v>
      </c>
      <c r="I17" s="55">
        <v>45624.0</v>
      </c>
      <c r="J17" s="55">
        <v>45989.0</v>
      </c>
      <c r="K17" s="56"/>
      <c r="L17" s="75"/>
      <c r="M17" s="69"/>
      <c r="N17" s="58" t="s">
        <v>263</v>
      </c>
      <c r="O17" s="76" t="s">
        <v>272</v>
      </c>
      <c r="P17" s="77" t="s">
        <v>263</v>
      </c>
      <c r="Q17" s="69"/>
      <c r="R17" s="69"/>
      <c r="S17" s="69"/>
      <c r="T17" s="59"/>
      <c r="U17" s="10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ht="15.75" customHeight="1">
      <c r="A18" s="42" t="s">
        <v>30</v>
      </c>
      <c r="B18" s="42" t="s">
        <v>48</v>
      </c>
      <c r="C18" s="42" t="s">
        <v>278</v>
      </c>
      <c r="D18" s="42" t="s">
        <v>87</v>
      </c>
      <c r="E18" s="42" t="s">
        <v>279</v>
      </c>
      <c r="F18" s="52" t="s">
        <v>280</v>
      </c>
      <c r="G18" s="53">
        <v>6.39177995554E11</v>
      </c>
      <c r="H18" s="94" t="s">
        <v>83</v>
      </c>
      <c r="I18" s="106">
        <v>45422.0</v>
      </c>
      <c r="J18" s="106">
        <v>45787.0</v>
      </c>
      <c r="K18" s="56"/>
      <c r="L18" s="58" t="s">
        <v>281</v>
      </c>
      <c r="M18" s="59"/>
      <c r="N18" s="58" t="s">
        <v>278</v>
      </c>
      <c r="O18" s="88" t="s">
        <v>286</v>
      </c>
      <c r="P18" s="77" t="s">
        <v>278</v>
      </c>
      <c r="Q18" s="59"/>
      <c r="R18" s="59"/>
      <c r="S18" s="59"/>
      <c r="T18" s="69"/>
      <c r="U18" s="10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ht="13.5" customHeight="1">
      <c r="A19" s="42" t="s">
        <v>30</v>
      </c>
      <c r="B19" s="42" t="s">
        <v>48</v>
      </c>
      <c r="C19" s="42" t="s">
        <v>299</v>
      </c>
      <c r="D19" s="45" t="s">
        <v>72</v>
      </c>
      <c r="E19" s="45" t="s">
        <v>300</v>
      </c>
      <c r="F19" s="184" t="s">
        <v>302</v>
      </c>
      <c r="G19" s="53"/>
      <c r="H19" s="45" t="s">
        <v>83</v>
      </c>
      <c r="I19" s="106">
        <v>45758.0</v>
      </c>
      <c r="J19" s="106">
        <v>46123.0</v>
      </c>
      <c r="K19" s="107"/>
      <c r="L19" s="75" t="s">
        <v>304</v>
      </c>
      <c r="M19" s="103"/>
      <c r="N19" s="75" t="s">
        <v>299</v>
      </c>
      <c r="O19" s="96" t="s">
        <v>305</v>
      </c>
      <c r="P19" s="77" t="s">
        <v>299</v>
      </c>
      <c r="Q19" s="59"/>
      <c r="R19" s="59"/>
      <c r="S19" s="59"/>
      <c r="T19" s="59"/>
      <c r="U19" s="10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ht="15.75" customHeight="1">
      <c r="A20" s="42" t="s">
        <v>30</v>
      </c>
      <c r="B20" s="42" t="s">
        <v>48</v>
      </c>
      <c r="C20" s="45" t="s">
        <v>311</v>
      </c>
      <c r="D20" s="42" t="s">
        <v>87</v>
      </c>
      <c r="E20" s="42" t="s">
        <v>91</v>
      </c>
      <c r="F20" s="187" t="s">
        <v>92</v>
      </c>
      <c r="G20" s="53"/>
      <c r="H20" s="94" t="s">
        <v>58</v>
      </c>
      <c r="I20" s="106">
        <v>45750.0</v>
      </c>
      <c r="J20" s="106">
        <v>46115.0</v>
      </c>
      <c r="K20" s="107"/>
      <c r="L20" s="75" t="s">
        <v>313</v>
      </c>
      <c r="M20" s="103"/>
      <c r="N20" s="76" t="s">
        <v>311</v>
      </c>
      <c r="O20" s="96" t="s">
        <v>314</v>
      </c>
      <c r="P20" s="189" t="s">
        <v>311</v>
      </c>
      <c r="Q20" s="59"/>
      <c r="R20" s="59"/>
      <c r="S20" s="59"/>
      <c r="T20" s="59"/>
      <c r="U20" s="116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ht="15.75" customHeight="1">
      <c r="A21" s="42" t="s">
        <v>30</v>
      </c>
      <c r="B21" s="42" t="s">
        <v>48</v>
      </c>
      <c r="C21" s="42" t="s">
        <v>319</v>
      </c>
      <c r="D21" s="42" t="s">
        <v>72</v>
      </c>
      <c r="E21" s="42" t="s">
        <v>321</v>
      </c>
      <c r="F21" s="105" t="s">
        <v>322</v>
      </c>
      <c r="G21" s="53"/>
      <c r="H21" s="94" t="s">
        <v>83</v>
      </c>
      <c r="I21" s="106">
        <v>45579.0</v>
      </c>
      <c r="J21" s="106">
        <v>45944.0</v>
      </c>
      <c r="K21" s="107"/>
      <c r="L21" s="58"/>
      <c r="M21" s="59"/>
      <c r="N21" s="58" t="s">
        <v>319</v>
      </c>
      <c r="O21" s="88" t="s">
        <v>327</v>
      </c>
      <c r="P21" s="77" t="s">
        <v>319</v>
      </c>
      <c r="Q21" s="59"/>
      <c r="R21" s="59"/>
      <c r="S21" s="59"/>
      <c r="T21" s="59"/>
      <c r="U21" s="10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ht="15.75" customHeight="1">
      <c r="A22" s="42" t="s">
        <v>30</v>
      </c>
      <c r="B22" s="42" t="s">
        <v>48</v>
      </c>
      <c r="C22" s="42" t="s">
        <v>330</v>
      </c>
      <c r="D22" s="42" t="s">
        <v>72</v>
      </c>
      <c r="E22" s="42" t="s">
        <v>321</v>
      </c>
      <c r="F22" s="105" t="s">
        <v>322</v>
      </c>
      <c r="G22" s="53"/>
      <c r="H22" s="94" t="s">
        <v>83</v>
      </c>
      <c r="I22" s="192"/>
      <c r="J22" s="192"/>
      <c r="K22" s="107"/>
      <c r="L22" s="75" t="s">
        <v>331</v>
      </c>
      <c r="M22" s="69"/>
      <c r="N22" s="75" t="s">
        <v>330</v>
      </c>
      <c r="O22" s="88" t="s">
        <v>336</v>
      </c>
      <c r="P22" s="77" t="s">
        <v>330</v>
      </c>
      <c r="Q22" s="69"/>
      <c r="R22" s="69"/>
      <c r="S22" s="69"/>
      <c r="T22" s="59"/>
      <c r="U22" s="70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ht="15.75" customHeight="1">
      <c r="A23" s="42" t="s">
        <v>30</v>
      </c>
      <c r="B23" s="42" t="s">
        <v>48</v>
      </c>
      <c r="C23" s="42" t="s">
        <v>342</v>
      </c>
      <c r="D23" s="42" t="s">
        <v>72</v>
      </c>
      <c r="E23" s="42" t="s">
        <v>343</v>
      </c>
      <c r="F23" s="105" t="s">
        <v>344</v>
      </c>
      <c r="G23" s="53" t="s">
        <v>346</v>
      </c>
      <c r="H23" s="94" t="s">
        <v>83</v>
      </c>
      <c r="I23" s="106">
        <v>45635.0</v>
      </c>
      <c r="J23" s="106">
        <v>46000.0</v>
      </c>
      <c r="K23" s="107"/>
      <c r="L23" s="75" t="s">
        <v>347</v>
      </c>
      <c r="M23" s="59"/>
      <c r="N23" s="75" t="s">
        <v>342</v>
      </c>
      <c r="O23" s="88" t="s">
        <v>348</v>
      </c>
      <c r="P23" s="77" t="s">
        <v>342</v>
      </c>
      <c r="Q23" s="59"/>
      <c r="R23" s="59"/>
      <c r="S23" s="59"/>
      <c r="T23" s="69"/>
      <c r="U23" s="10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ht="15.75" customHeight="1">
      <c r="A24" s="42" t="s">
        <v>30</v>
      </c>
      <c r="B24" s="42" t="s">
        <v>48</v>
      </c>
      <c r="C24" s="45" t="s">
        <v>351</v>
      </c>
      <c r="D24" s="42" t="s">
        <v>72</v>
      </c>
      <c r="E24" s="42" t="s">
        <v>353</v>
      </c>
      <c r="F24" s="52" t="s">
        <v>354</v>
      </c>
      <c r="G24" s="53"/>
      <c r="H24" s="94" t="s">
        <v>83</v>
      </c>
      <c r="I24" s="106">
        <v>45716.0</v>
      </c>
      <c r="J24" s="106">
        <v>46081.0</v>
      </c>
      <c r="K24" s="107"/>
      <c r="L24" s="58"/>
      <c r="M24" s="59"/>
      <c r="N24" s="75" t="s">
        <v>351</v>
      </c>
      <c r="O24" s="88" t="s">
        <v>356</v>
      </c>
      <c r="P24" s="189" t="s">
        <v>351</v>
      </c>
      <c r="Q24" s="59"/>
      <c r="R24" s="59"/>
      <c r="S24" s="59"/>
      <c r="T24" s="69"/>
      <c r="U24" s="112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ht="15.75" customHeight="1">
      <c r="A25" s="42" t="s">
        <v>30</v>
      </c>
      <c r="B25" s="42" t="s">
        <v>48</v>
      </c>
      <c r="C25" s="42" t="s">
        <v>363</v>
      </c>
      <c r="D25" s="42" t="s">
        <v>72</v>
      </c>
      <c r="E25" s="42" t="s">
        <v>364</v>
      </c>
      <c r="F25" s="105" t="s">
        <v>365</v>
      </c>
      <c r="G25" s="53"/>
      <c r="H25" s="94" t="s">
        <v>83</v>
      </c>
      <c r="I25" s="55">
        <v>45639.0</v>
      </c>
      <c r="J25" s="55">
        <v>46004.0</v>
      </c>
      <c r="K25" s="56"/>
      <c r="L25" s="58" t="s">
        <v>370</v>
      </c>
      <c r="M25" s="69"/>
      <c r="N25" s="58" t="s">
        <v>363</v>
      </c>
      <c r="O25" s="76" t="s">
        <v>374</v>
      </c>
      <c r="P25" s="77" t="s">
        <v>363</v>
      </c>
      <c r="Q25" s="69"/>
      <c r="R25" s="69"/>
      <c r="S25" s="69"/>
      <c r="T25" s="59"/>
      <c r="U25" s="70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60"/>
      <c r="AN25" s="60"/>
      <c r="AO25" s="60"/>
      <c r="AP25" s="60"/>
      <c r="AQ25" s="60"/>
      <c r="AR25" s="60"/>
      <c r="AS25" s="60"/>
      <c r="AT25" s="60"/>
      <c r="AU25" s="60"/>
      <c r="AV25" s="60"/>
    </row>
    <row r="26" ht="15.75" customHeight="1">
      <c r="A26" s="42" t="s">
        <v>30</v>
      </c>
      <c r="B26" s="42" t="s">
        <v>48</v>
      </c>
      <c r="C26" s="42" t="s">
        <v>386</v>
      </c>
      <c r="D26" s="45" t="s">
        <v>72</v>
      </c>
      <c r="E26" s="45" t="s">
        <v>388</v>
      </c>
      <c r="F26" s="74" t="s">
        <v>390</v>
      </c>
      <c r="G26" s="53"/>
      <c r="H26" s="45"/>
      <c r="I26" s="55"/>
      <c r="J26" s="55"/>
      <c r="K26" s="56"/>
      <c r="L26" s="75"/>
      <c r="M26" s="69"/>
      <c r="N26" s="77" t="s">
        <v>386</v>
      </c>
      <c r="O26" s="76" t="s">
        <v>396</v>
      </c>
      <c r="P26" s="77" t="s">
        <v>386</v>
      </c>
      <c r="Q26" s="69"/>
      <c r="R26" s="69"/>
      <c r="S26" s="69"/>
      <c r="T26" s="69"/>
      <c r="U26" s="70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0"/>
      <c r="AN26" s="60"/>
      <c r="AO26" s="60"/>
      <c r="AP26" s="60"/>
      <c r="AQ26" s="60"/>
      <c r="AR26" s="60"/>
      <c r="AS26" s="60"/>
      <c r="AT26" s="60"/>
      <c r="AU26" s="60"/>
      <c r="AV26" s="60"/>
    </row>
    <row r="27">
      <c r="A27" s="42"/>
      <c r="B27" s="42" t="s">
        <v>48</v>
      </c>
      <c r="C27" s="103" t="s">
        <v>410</v>
      </c>
      <c r="D27" s="42" t="s">
        <v>72</v>
      </c>
      <c r="E27" s="42" t="s">
        <v>412</v>
      </c>
      <c r="F27" s="52" t="s">
        <v>413</v>
      </c>
      <c r="G27" s="53">
        <v>6.39178593048E11</v>
      </c>
      <c r="H27" s="94" t="s">
        <v>83</v>
      </c>
      <c r="I27" s="55">
        <v>45444.0</v>
      </c>
      <c r="J27" s="55">
        <v>45809.0</v>
      </c>
      <c r="K27" s="139"/>
      <c r="L27" s="75" t="s">
        <v>415</v>
      </c>
      <c r="M27" s="59"/>
      <c r="N27" s="75" t="s">
        <v>417</v>
      </c>
      <c r="O27" s="76" t="s">
        <v>418</v>
      </c>
      <c r="P27" s="77" t="s">
        <v>417</v>
      </c>
      <c r="Q27" s="59"/>
      <c r="R27" s="59"/>
      <c r="S27" s="59"/>
      <c r="T27" s="69"/>
      <c r="U27" s="112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0"/>
      <c r="AN27" s="60"/>
      <c r="AO27" s="60"/>
      <c r="AP27" s="60"/>
      <c r="AQ27" s="60"/>
      <c r="AR27" s="60"/>
      <c r="AS27" s="60"/>
      <c r="AT27" s="60"/>
      <c r="AU27" s="60"/>
      <c r="AV27" s="60"/>
    </row>
    <row r="28">
      <c r="A28" s="42" t="s">
        <v>30</v>
      </c>
      <c r="B28" s="42" t="s">
        <v>422</v>
      </c>
      <c r="C28" s="42" t="s">
        <v>423</v>
      </c>
      <c r="D28" s="42" t="s">
        <v>72</v>
      </c>
      <c r="E28" s="42" t="s">
        <v>424</v>
      </c>
      <c r="F28" s="184" t="s">
        <v>425</v>
      </c>
      <c r="G28" s="53"/>
      <c r="H28" s="94" t="s">
        <v>83</v>
      </c>
      <c r="I28" s="106">
        <v>45778.0</v>
      </c>
      <c r="J28" s="121">
        <v>46143.0</v>
      </c>
      <c r="K28" s="56"/>
      <c r="L28" s="88" t="s">
        <v>426</v>
      </c>
      <c r="M28" s="59"/>
      <c r="N28" s="94"/>
      <c r="O28" s="59"/>
      <c r="P28" s="42"/>
      <c r="Q28" s="59"/>
      <c r="R28" s="59"/>
      <c r="S28" s="59"/>
      <c r="T28" s="69"/>
      <c r="U28" s="112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0"/>
      <c r="AN28" s="60"/>
      <c r="AO28" s="60"/>
      <c r="AP28" s="60"/>
      <c r="AQ28" s="60"/>
      <c r="AR28" s="60"/>
      <c r="AS28" s="60"/>
      <c r="AT28" s="60"/>
      <c r="AU28" s="60"/>
      <c r="AV28" s="60"/>
    </row>
    <row r="29" ht="15.75" customHeight="1">
      <c r="A29" s="42" t="s">
        <v>252</v>
      </c>
      <c r="B29" s="42" t="s">
        <v>48</v>
      </c>
      <c r="C29" s="42" t="s">
        <v>428</v>
      </c>
      <c r="D29" s="42" t="s">
        <v>72</v>
      </c>
      <c r="E29" s="42" t="s">
        <v>429</v>
      </c>
      <c r="F29" s="52" t="s">
        <v>430</v>
      </c>
      <c r="G29" s="53">
        <v>6.39178989043E11</v>
      </c>
      <c r="H29" s="94" t="s">
        <v>83</v>
      </c>
      <c r="I29" s="106">
        <v>45670.0</v>
      </c>
      <c r="J29" s="106">
        <v>46035.0</v>
      </c>
      <c r="K29" s="107"/>
      <c r="L29" s="58" t="s">
        <v>431</v>
      </c>
      <c r="M29" s="59"/>
      <c r="N29" s="221" t="s">
        <v>428</v>
      </c>
      <c r="O29" s="88" t="s">
        <v>435</v>
      </c>
      <c r="P29" s="77" t="s">
        <v>428</v>
      </c>
      <c r="Q29" s="59"/>
      <c r="R29" s="59"/>
      <c r="S29" s="59"/>
      <c r="T29" s="69"/>
      <c r="U29" s="112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0"/>
      <c r="AN29" s="60"/>
      <c r="AO29" s="60"/>
      <c r="AP29" s="60"/>
      <c r="AQ29" s="60"/>
      <c r="AR29" s="60"/>
      <c r="AS29" s="60"/>
      <c r="AT29" s="60"/>
      <c r="AU29" s="60"/>
      <c r="AV29" s="60"/>
    </row>
    <row r="30" ht="15.75" customHeight="1">
      <c r="A30" s="42" t="s">
        <v>252</v>
      </c>
      <c r="B30" s="42" t="s">
        <v>48</v>
      </c>
      <c r="C30" s="42" t="s">
        <v>379</v>
      </c>
      <c r="D30" s="42" t="s">
        <v>72</v>
      </c>
      <c r="E30" s="42" t="s">
        <v>380</v>
      </c>
      <c r="F30" s="184" t="s">
        <v>381</v>
      </c>
      <c r="G30" s="53">
        <v>9.291818824E9</v>
      </c>
      <c r="H30" s="94" t="s">
        <v>83</v>
      </c>
      <c r="I30" s="55">
        <v>45740.0</v>
      </c>
      <c r="J30" s="228">
        <v>46166.0</v>
      </c>
      <c r="K30" s="56"/>
      <c r="L30" s="69"/>
      <c r="M30" s="69"/>
      <c r="N30" s="77" t="s">
        <v>379</v>
      </c>
      <c r="O30" s="76" t="s">
        <v>385</v>
      </c>
      <c r="P30" s="77" t="s">
        <v>379</v>
      </c>
      <c r="Q30" s="69"/>
      <c r="R30" s="69"/>
      <c r="S30" s="69"/>
      <c r="T30" s="69"/>
      <c r="U30" s="112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0"/>
      <c r="AN30" s="60"/>
      <c r="AO30" s="60"/>
      <c r="AP30" s="60"/>
      <c r="AQ30" s="60"/>
      <c r="AR30" s="60"/>
      <c r="AS30" s="60"/>
      <c r="AT30" s="60"/>
      <c r="AU30" s="60"/>
      <c r="AV30" s="60"/>
    </row>
    <row r="31" ht="15.75" customHeight="1">
      <c r="A31" s="42" t="s">
        <v>252</v>
      </c>
      <c r="B31" s="42" t="s">
        <v>48</v>
      </c>
      <c r="C31" s="42" t="s">
        <v>133</v>
      </c>
      <c r="D31" s="42" t="s">
        <v>72</v>
      </c>
      <c r="E31" s="42" t="s">
        <v>468</v>
      </c>
      <c r="F31" s="149" t="s">
        <v>188</v>
      </c>
      <c r="G31" s="87">
        <v>6.39173052499E11</v>
      </c>
      <c r="H31" s="94" t="s">
        <v>83</v>
      </c>
      <c r="I31" s="55">
        <v>45474.0</v>
      </c>
      <c r="J31" s="55">
        <v>45839.0</v>
      </c>
      <c r="K31" s="56"/>
      <c r="L31" s="75"/>
      <c r="M31" s="69"/>
      <c r="N31" s="75" t="s">
        <v>133</v>
      </c>
      <c r="O31" s="76" t="s">
        <v>475</v>
      </c>
      <c r="P31" s="77" t="s">
        <v>133</v>
      </c>
      <c r="Q31" s="69"/>
      <c r="R31" s="69"/>
      <c r="S31" s="69"/>
      <c r="T31" s="69"/>
      <c r="U31" s="10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0"/>
      <c r="AN31" s="60"/>
      <c r="AO31" s="60"/>
      <c r="AP31" s="60"/>
      <c r="AQ31" s="60"/>
      <c r="AR31" s="60"/>
      <c r="AS31" s="60"/>
      <c r="AT31" s="60"/>
      <c r="AU31" s="60"/>
      <c r="AV31" s="60"/>
    </row>
    <row r="32" ht="15.75" customHeight="1">
      <c r="A32" s="42" t="s">
        <v>252</v>
      </c>
      <c r="B32" s="42" t="s">
        <v>48</v>
      </c>
      <c r="C32" s="42" t="s">
        <v>486</v>
      </c>
      <c r="D32" s="42" t="s">
        <v>72</v>
      </c>
      <c r="E32" s="42" t="s">
        <v>161</v>
      </c>
      <c r="F32" s="149" t="s">
        <v>162</v>
      </c>
      <c r="G32" s="53"/>
      <c r="H32" s="94" t="s">
        <v>83</v>
      </c>
      <c r="I32" s="106">
        <v>45495.0</v>
      </c>
      <c r="J32" s="106">
        <v>45860.0</v>
      </c>
      <c r="K32" s="107"/>
      <c r="L32" s="58" t="s">
        <v>491</v>
      </c>
      <c r="M32" s="59"/>
      <c r="N32" s="88" t="s">
        <v>486</v>
      </c>
      <c r="O32" s="88" t="s">
        <v>493</v>
      </c>
      <c r="P32" s="77" t="s">
        <v>486</v>
      </c>
      <c r="Q32" s="59"/>
      <c r="R32" s="59"/>
      <c r="S32" s="59"/>
      <c r="T32" s="69"/>
      <c r="U32" s="116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0"/>
      <c r="AN32" s="60"/>
      <c r="AO32" s="60"/>
      <c r="AP32" s="60"/>
      <c r="AQ32" s="60"/>
      <c r="AR32" s="60"/>
      <c r="AS32" s="60"/>
      <c r="AT32" s="60"/>
      <c r="AU32" s="60"/>
      <c r="AV32" s="60"/>
    </row>
    <row r="33" ht="15.75" customHeight="1">
      <c r="A33" s="42" t="s">
        <v>252</v>
      </c>
      <c r="B33" s="42" t="s">
        <v>48</v>
      </c>
      <c r="C33" s="42" t="s">
        <v>419</v>
      </c>
      <c r="D33" s="42" t="s">
        <v>72</v>
      </c>
      <c r="E33" s="42" t="s">
        <v>488</v>
      </c>
      <c r="F33" s="52" t="s">
        <v>489</v>
      </c>
      <c r="G33" s="53">
        <v>6.39173208884E11</v>
      </c>
      <c r="H33" s="94" t="s">
        <v>83</v>
      </c>
      <c r="I33" s="106">
        <v>45509.0</v>
      </c>
      <c r="J33" s="106">
        <v>45874.0</v>
      </c>
      <c r="K33" s="107"/>
      <c r="L33" s="75" t="s">
        <v>420</v>
      </c>
      <c r="M33" s="59"/>
      <c r="N33" s="76" t="s">
        <v>419</v>
      </c>
      <c r="O33" s="88" t="s">
        <v>421</v>
      </c>
      <c r="P33" s="77" t="s">
        <v>419</v>
      </c>
      <c r="Q33" s="59"/>
      <c r="R33" s="59"/>
      <c r="S33" s="59"/>
      <c r="T33" s="69"/>
      <c r="U33" s="70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0"/>
      <c r="AN33" s="60"/>
      <c r="AO33" s="60"/>
      <c r="AP33" s="60"/>
      <c r="AQ33" s="60"/>
      <c r="AR33" s="60"/>
      <c r="AS33" s="60"/>
      <c r="AT33" s="60"/>
      <c r="AU33" s="60"/>
      <c r="AV33" s="60"/>
    </row>
    <row r="34" ht="15.75" customHeight="1">
      <c r="A34" s="42" t="s">
        <v>252</v>
      </c>
      <c r="B34" s="42" t="s">
        <v>48</v>
      </c>
      <c r="C34" s="42" t="s">
        <v>432</v>
      </c>
      <c r="D34" s="42" t="s">
        <v>72</v>
      </c>
      <c r="E34" s="42" t="s">
        <v>193</v>
      </c>
      <c r="F34" s="105" t="s">
        <v>194</v>
      </c>
      <c r="G34" s="53"/>
      <c r="H34" s="94" t="s">
        <v>83</v>
      </c>
      <c r="I34" s="55">
        <v>45524.0</v>
      </c>
      <c r="J34" s="55">
        <v>45889.0</v>
      </c>
      <c r="K34" s="56"/>
      <c r="L34" s="58" t="s">
        <v>436</v>
      </c>
      <c r="M34" s="69"/>
      <c r="N34" s="58" t="s">
        <v>432</v>
      </c>
      <c r="O34" s="76" t="s">
        <v>437</v>
      </c>
      <c r="P34" s="77" t="s">
        <v>432</v>
      </c>
      <c r="Q34" s="69"/>
      <c r="R34" s="69"/>
      <c r="S34" s="69"/>
      <c r="T34" s="69"/>
      <c r="U34" s="10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0"/>
      <c r="AN34" s="60"/>
      <c r="AO34" s="60"/>
      <c r="AP34" s="60"/>
      <c r="AQ34" s="60"/>
      <c r="AR34" s="60"/>
      <c r="AS34" s="60"/>
      <c r="AT34" s="60"/>
      <c r="AU34" s="60"/>
      <c r="AV34" s="60"/>
    </row>
    <row r="35" ht="15.75" customHeight="1">
      <c r="A35" s="42" t="s">
        <v>252</v>
      </c>
      <c r="B35" s="42" t="s">
        <v>48</v>
      </c>
      <c r="C35" s="42" t="s">
        <v>160</v>
      </c>
      <c r="D35" s="42" t="s">
        <v>87</v>
      </c>
      <c r="E35" s="42" t="s">
        <v>433</v>
      </c>
      <c r="F35" s="105" t="s">
        <v>434</v>
      </c>
      <c r="G35" s="53"/>
      <c r="H35" s="94" t="s">
        <v>83</v>
      </c>
      <c r="I35" s="106">
        <v>45531.0</v>
      </c>
      <c r="J35" s="106">
        <v>45896.0</v>
      </c>
      <c r="K35" s="107"/>
      <c r="L35" s="58"/>
      <c r="M35" s="59"/>
      <c r="N35" s="75" t="s">
        <v>160</v>
      </c>
      <c r="O35" s="88" t="s">
        <v>427</v>
      </c>
      <c r="P35" s="77" t="s">
        <v>160</v>
      </c>
      <c r="Q35" s="59"/>
      <c r="R35" s="59"/>
      <c r="S35" s="59"/>
      <c r="T35" s="69"/>
      <c r="U35" s="70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0"/>
      <c r="AN35" s="60"/>
      <c r="AO35" s="60"/>
      <c r="AP35" s="60"/>
      <c r="AQ35" s="60"/>
      <c r="AR35" s="60"/>
      <c r="AS35" s="60"/>
      <c r="AT35" s="60"/>
      <c r="AU35" s="60"/>
      <c r="AV35" s="60"/>
    </row>
    <row r="36" ht="15.75" customHeight="1">
      <c r="A36" s="42" t="s">
        <v>252</v>
      </c>
      <c r="B36" s="42" t="s">
        <v>48</v>
      </c>
      <c r="C36" s="42" t="s">
        <v>409</v>
      </c>
      <c r="D36" s="42" t="s">
        <v>72</v>
      </c>
      <c r="E36" s="42" t="s">
        <v>544</v>
      </c>
      <c r="F36" s="246" t="s">
        <v>545</v>
      </c>
      <c r="G36" s="53"/>
      <c r="H36" s="94" t="s">
        <v>83</v>
      </c>
      <c r="I36" s="106">
        <v>45791.0</v>
      </c>
      <c r="J36" s="106">
        <v>46156.0</v>
      </c>
      <c r="K36" s="56"/>
      <c r="L36" s="58" t="s">
        <v>414</v>
      </c>
      <c r="M36" s="59"/>
      <c r="N36" s="58" t="s">
        <v>409</v>
      </c>
      <c r="O36" s="88" t="s">
        <v>416</v>
      </c>
      <c r="P36" s="77" t="s">
        <v>409</v>
      </c>
      <c r="Q36" s="59"/>
      <c r="R36" s="59"/>
      <c r="S36" s="59"/>
      <c r="T36" s="69"/>
      <c r="U36" s="10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0"/>
      <c r="AN36" s="60"/>
      <c r="AO36" s="60"/>
      <c r="AP36" s="60"/>
      <c r="AQ36" s="60"/>
      <c r="AR36" s="60"/>
      <c r="AS36" s="60"/>
      <c r="AT36" s="60"/>
      <c r="AU36" s="60"/>
      <c r="AV36" s="60"/>
    </row>
    <row r="37" ht="15.75" customHeight="1">
      <c r="A37" s="42" t="s">
        <v>252</v>
      </c>
      <c r="B37" s="42" t="s">
        <v>48</v>
      </c>
      <c r="C37" s="42" t="s">
        <v>439</v>
      </c>
      <c r="D37" s="42" t="s">
        <v>72</v>
      </c>
      <c r="E37" s="42" t="s">
        <v>546</v>
      </c>
      <c r="F37" s="248" t="s">
        <v>547</v>
      </c>
      <c r="G37" s="53">
        <v>6.39173177203E11</v>
      </c>
      <c r="H37" s="94" t="s">
        <v>83</v>
      </c>
      <c r="I37" s="55">
        <v>45688.0</v>
      </c>
      <c r="J37" s="55">
        <v>46053.0</v>
      </c>
      <c r="K37" s="56"/>
      <c r="L37" s="75" t="s">
        <v>450</v>
      </c>
      <c r="M37" s="69"/>
      <c r="N37" s="75" t="s">
        <v>439</v>
      </c>
      <c r="O37" s="76" t="s">
        <v>453</v>
      </c>
      <c r="P37" s="77" t="s">
        <v>439</v>
      </c>
      <c r="Q37" s="69"/>
      <c r="R37" s="69"/>
      <c r="S37" s="69"/>
      <c r="T37" s="59"/>
      <c r="U37" s="10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60"/>
      <c r="AN37" s="60"/>
      <c r="AO37" s="60"/>
      <c r="AP37" s="60"/>
      <c r="AQ37" s="60"/>
      <c r="AR37" s="60"/>
      <c r="AS37" s="60"/>
      <c r="AT37" s="60"/>
      <c r="AU37" s="60"/>
      <c r="AV37" s="60"/>
    </row>
    <row r="38" ht="15.75" customHeight="1">
      <c r="A38" s="42" t="s">
        <v>252</v>
      </c>
      <c r="B38" s="42" t="s">
        <v>48</v>
      </c>
      <c r="C38" s="42" t="s">
        <v>458</v>
      </c>
      <c r="D38" s="42" t="s">
        <v>72</v>
      </c>
      <c r="E38" s="42" t="s">
        <v>442</v>
      </c>
      <c r="F38" s="105" t="s">
        <v>443</v>
      </c>
      <c r="G38" s="53">
        <v>6.39185702183E11</v>
      </c>
      <c r="H38" s="94" t="s">
        <v>83</v>
      </c>
      <c r="I38" s="55">
        <v>45707.0</v>
      </c>
      <c r="J38" s="55">
        <v>46010.0</v>
      </c>
      <c r="K38" s="56"/>
      <c r="L38" s="58" t="s">
        <v>462</v>
      </c>
      <c r="M38" s="69"/>
      <c r="N38" s="58" t="s">
        <v>458</v>
      </c>
      <c r="O38" s="76" t="s">
        <v>467</v>
      </c>
      <c r="P38" s="77" t="s">
        <v>458</v>
      </c>
      <c r="Q38" s="69"/>
      <c r="R38" s="69"/>
      <c r="S38" s="69"/>
      <c r="T38" s="69"/>
      <c r="U38" s="70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0"/>
      <c r="AN38" s="60"/>
      <c r="AO38" s="60"/>
      <c r="AP38" s="60"/>
      <c r="AQ38" s="60"/>
      <c r="AR38" s="60"/>
      <c r="AS38" s="60"/>
      <c r="AT38" s="60"/>
      <c r="AU38" s="60"/>
      <c r="AV38" s="60"/>
    </row>
    <row r="39" ht="15.75" customHeight="1">
      <c r="A39" s="42" t="s">
        <v>252</v>
      </c>
      <c r="B39" s="42" t="s">
        <v>48</v>
      </c>
      <c r="C39" s="42" t="s">
        <v>550</v>
      </c>
      <c r="D39" s="42" t="s">
        <v>72</v>
      </c>
      <c r="E39" s="42" t="s">
        <v>551</v>
      </c>
      <c r="F39" s="52" t="s">
        <v>443</v>
      </c>
      <c r="G39" s="53">
        <v>6.39185702183E11</v>
      </c>
      <c r="H39" s="94" t="s">
        <v>83</v>
      </c>
      <c r="I39" s="106">
        <v>45707.0</v>
      </c>
      <c r="J39" s="106">
        <v>46010.0</v>
      </c>
      <c r="K39" s="107"/>
      <c r="L39" s="75" t="s">
        <v>555</v>
      </c>
      <c r="M39" s="59"/>
      <c r="N39" s="75" t="s">
        <v>550</v>
      </c>
      <c r="O39" s="88" t="s">
        <v>557</v>
      </c>
      <c r="P39" s="77" t="s">
        <v>550</v>
      </c>
      <c r="Q39" s="59"/>
      <c r="R39" s="59"/>
      <c r="S39" s="59"/>
      <c r="T39" s="59"/>
      <c r="U39" s="10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60"/>
      <c r="AN39" s="60"/>
      <c r="AO39" s="60"/>
      <c r="AP39" s="60"/>
      <c r="AQ39" s="60"/>
      <c r="AR39" s="60"/>
      <c r="AS39" s="60"/>
      <c r="AT39" s="60"/>
      <c r="AU39" s="60"/>
      <c r="AV39" s="60"/>
    </row>
    <row r="40" ht="15.75" customHeight="1">
      <c r="A40" s="42" t="s">
        <v>43</v>
      </c>
      <c r="B40" s="42" t="s">
        <v>48</v>
      </c>
      <c r="C40" s="42" t="s">
        <v>561</v>
      </c>
      <c r="D40" s="42" t="s">
        <v>403</v>
      </c>
      <c r="E40" s="42" t="s">
        <v>562</v>
      </c>
      <c r="F40" s="74"/>
      <c r="G40" s="53"/>
      <c r="H40" s="94"/>
      <c r="I40" s="228"/>
      <c r="J40" s="228"/>
      <c r="K40" s="56"/>
      <c r="L40" s="69"/>
      <c r="M40" s="69"/>
      <c r="N40" s="76" t="s">
        <v>561</v>
      </c>
      <c r="O40" s="76" t="s">
        <v>563</v>
      </c>
      <c r="P40" s="77" t="s">
        <v>561</v>
      </c>
      <c r="Q40" s="69"/>
      <c r="R40" s="69"/>
      <c r="S40" s="69"/>
      <c r="T40" s="69"/>
      <c r="U40" s="112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0"/>
      <c r="AN40" s="60"/>
      <c r="AO40" s="60"/>
      <c r="AP40" s="60"/>
      <c r="AQ40" s="60"/>
      <c r="AR40" s="60"/>
      <c r="AS40" s="60"/>
      <c r="AT40" s="60"/>
      <c r="AU40" s="60"/>
      <c r="AV40" s="60"/>
    </row>
    <row r="41" ht="15.75" customHeight="1">
      <c r="A41" s="42" t="s">
        <v>43</v>
      </c>
      <c r="B41" s="42" t="s">
        <v>48</v>
      </c>
      <c r="C41" s="42" t="s">
        <v>564</v>
      </c>
      <c r="D41" s="42" t="s">
        <v>87</v>
      </c>
      <c r="E41" s="42"/>
      <c r="F41" s="74"/>
      <c r="G41" s="53"/>
      <c r="H41" s="94" t="s">
        <v>83</v>
      </c>
      <c r="I41" s="55"/>
      <c r="J41" s="106"/>
      <c r="K41" s="56"/>
      <c r="L41" s="58"/>
      <c r="M41" s="59"/>
      <c r="N41" s="77" t="s">
        <v>564</v>
      </c>
      <c r="O41" s="88" t="s">
        <v>565</v>
      </c>
      <c r="P41" s="77" t="s">
        <v>564</v>
      </c>
      <c r="Q41" s="59"/>
      <c r="R41" s="59"/>
      <c r="S41" s="59"/>
      <c r="T41" s="59"/>
      <c r="U41" s="116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60"/>
      <c r="AN41" s="60"/>
      <c r="AO41" s="60"/>
      <c r="AP41" s="60"/>
      <c r="AQ41" s="60"/>
      <c r="AR41" s="60"/>
      <c r="AS41" s="60"/>
      <c r="AT41" s="60"/>
      <c r="AU41" s="60"/>
      <c r="AV41" s="60"/>
    </row>
    <row r="42" ht="15.75" customHeight="1">
      <c r="A42" s="42" t="s">
        <v>43</v>
      </c>
      <c r="B42" s="42" t="s">
        <v>48</v>
      </c>
      <c r="C42" s="42" t="s">
        <v>568</v>
      </c>
      <c r="D42" s="42" t="s">
        <v>72</v>
      </c>
      <c r="E42" s="42" t="s">
        <v>566</v>
      </c>
      <c r="F42" s="105" t="s">
        <v>567</v>
      </c>
      <c r="G42" s="53"/>
      <c r="H42" s="94" t="s">
        <v>83</v>
      </c>
      <c r="I42" s="55">
        <v>45533.0</v>
      </c>
      <c r="J42" s="55">
        <v>45898.0</v>
      </c>
      <c r="K42" s="56"/>
      <c r="L42" s="58" t="s">
        <v>569</v>
      </c>
      <c r="M42" s="69"/>
      <c r="N42" s="58" t="s">
        <v>568</v>
      </c>
      <c r="O42" s="76" t="s">
        <v>570</v>
      </c>
      <c r="P42" s="77" t="s">
        <v>568</v>
      </c>
      <c r="Q42" s="69"/>
      <c r="R42" s="69"/>
      <c r="S42" s="69"/>
      <c r="T42" s="69"/>
      <c r="U42" s="10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60"/>
      <c r="AN42" s="60"/>
      <c r="AO42" s="60"/>
      <c r="AP42" s="60"/>
      <c r="AQ42" s="60"/>
      <c r="AR42" s="60"/>
      <c r="AS42" s="60"/>
      <c r="AT42" s="60"/>
      <c r="AU42" s="60"/>
      <c r="AV42" s="60"/>
    </row>
    <row r="43" ht="15.75" customHeight="1">
      <c r="A43" s="42" t="s">
        <v>43</v>
      </c>
      <c r="B43" s="42" t="s">
        <v>137</v>
      </c>
      <c r="C43" s="42" t="s">
        <v>573</v>
      </c>
      <c r="D43" s="42"/>
      <c r="E43" s="42"/>
      <c r="F43" s="74" t="s">
        <v>188</v>
      </c>
      <c r="G43" s="53"/>
      <c r="H43" s="94"/>
      <c r="I43" s="55"/>
      <c r="J43" s="55"/>
      <c r="K43" s="139"/>
      <c r="L43" s="75" t="s">
        <v>576</v>
      </c>
      <c r="M43" s="69"/>
      <c r="N43" s="75" t="s">
        <v>573</v>
      </c>
      <c r="O43" s="76" t="s">
        <v>578</v>
      </c>
      <c r="P43" s="77" t="s">
        <v>573</v>
      </c>
      <c r="Q43" s="69"/>
      <c r="R43" s="69"/>
      <c r="S43" s="69"/>
      <c r="T43" s="69"/>
      <c r="U43" s="70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60"/>
      <c r="AN43" s="60"/>
      <c r="AO43" s="60"/>
      <c r="AP43" s="60"/>
      <c r="AQ43" s="60"/>
      <c r="AR43" s="60"/>
      <c r="AS43" s="60"/>
      <c r="AT43" s="60"/>
      <c r="AU43" s="60"/>
      <c r="AV43" s="60"/>
    </row>
    <row r="44" ht="15.75" customHeight="1">
      <c r="A44" s="42" t="s">
        <v>43</v>
      </c>
      <c r="B44" s="42" t="s">
        <v>137</v>
      </c>
      <c r="C44" s="42" t="s">
        <v>585</v>
      </c>
      <c r="D44" s="42" t="s">
        <v>72</v>
      </c>
      <c r="E44" s="42" t="s">
        <v>587</v>
      </c>
      <c r="F44" s="52" t="s">
        <v>572</v>
      </c>
      <c r="G44" s="53"/>
      <c r="H44" s="94" t="s">
        <v>83</v>
      </c>
      <c r="I44" s="106">
        <v>45446.0</v>
      </c>
      <c r="J44" s="106">
        <v>45811.0</v>
      </c>
      <c r="K44" s="139"/>
      <c r="L44" s="58" t="s">
        <v>594</v>
      </c>
      <c r="M44" s="59"/>
      <c r="N44" s="58" t="s">
        <v>585</v>
      </c>
      <c r="O44" s="88" t="s">
        <v>600</v>
      </c>
      <c r="P44" s="77" t="s">
        <v>585</v>
      </c>
      <c r="Q44" s="59"/>
      <c r="R44" s="59"/>
      <c r="S44" s="59"/>
      <c r="T44" s="69"/>
      <c r="U44" s="112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0"/>
      <c r="AN44" s="60"/>
      <c r="AO44" s="60"/>
      <c r="AP44" s="60"/>
      <c r="AQ44" s="60"/>
      <c r="AR44" s="60"/>
      <c r="AS44" s="60"/>
      <c r="AT44" s="60"/>
      <c r="AU44" s="60"/>
      <c r="AV44" s="60"/>
    </row>
    <row r="45" ht="15.75" customHeight="1">
      <c r="A45" s="42" t="s">
        <v>144</v>
      </c>
      <c r="B45" s="42" t="s">
        <v>137</v>
      </c>
      <c r="C45" s="42" t="s">
        <v>163</v>
      </c>
      <c r="D45" s="42" t="s">
        <v>72</v>
      </c>
      <c r="E45" s="42" t="s">
        <v>165</v>
      </c>
      <c r="F45" s="254" t="s">
        <v>166</v>
      </c>
      <c r="G45" s="53">
        <v>9.176800008E9</v>
      </c>
      <c r="H45" s="94" t="s">
        <v>83</v>
      </c>
      <c r="I45" s="228">
        <v>45600.0</v>
      </c>
      <c r="J45" s="228">
        <v>45781.0</v>
      </c>
      <c r="K45" s="255"/>
      <c r="L45" s="75" t="s">
        <v>168</v>
      </c>
      <c r="M45" s="69" t="s">
        <v>604</v>
      </c>
      <c r="N45" s="75" t="s">
        <v>163</v>
      </c>
      <c r="O45" s="75" t="s">
        <v>169</v>
      </c>
      <c r="P45" s="77" t="s">
        <v>163</v>
      </c>
      <c r="Q45" s="69"/>
      <c r="R45" s="69"/>
      <c r="S45" s="69"/>
      <c r="T45" s="69"/>
      <c r="U45" s="112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0"/>
      <c r="AN45" s="60"/>
      <c r="AO45" s="60"/>
      <c r="AP45" s="60"/>
      <c r="AQ45" s="60"/>
      <c r="AR45" s="60"/>
      <c r="AS45" s="60"/>
      <c r="AT45" s="60"/>
      <c r="AU45" s="60"/>
      <c r="AV45" s="60"/>
    </row>
    <row r="46" ht="15.75" customHeight="1">
      <c r="A46" s="42" t="s">
        <v>144</v>
      </c>
      <c r="B46" s="42" t="s">
        <v>422</v>
      </c>
      <c r="C46" s="45" t="s">
        <v>178</v>
      </c>
      <c r="D46" s="45" t="s">
        <v>87</v>
      </c>
      <c r="E46" s="45"/>
      <c r="F46" s="187"/>
      <c r="G46" s="53"/>
      <c r="H46" s="45"/>
      <c r="I46" s="258"/>
      <c r="J46" s="121" t="s">
        <v>221</v>
      </c>
      <c r="K46" s="122"/>
      <c r="L46" s="59"/>
      <c r="M46" s="59"/>
      <c r="N46" s="59"/>
      <c r="O46" s="59"/>
      <c r="P46" s="59"/>
      <c r="Q46" s="59"/>
      <c r="R46" s="59"/>
      <c r="S46" s="59"/>
      <c r="T46" s="59"/>
      <c r="U46" s="116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60"/>
      <c r="AN46" s="60"/>
      <c r="AO46" s="60"/>
      <c r="AP46" s="60"/>
      <c r="AQ46" s="60"/>
      <c r="AR46" s="60"/>
      <c r="AS46" s="60"/>
      <c r="AT46" s="60"/>
      <c r="AU46" s="60"/>
      <c r="AV46" s="60"/>
    </row>
    <row r="47" ht="15.75" customHeight="1">
      <c r="A47" s="42" t="s">
        <v>144</v>
      </c>
      <c r="B47" s="42" t="s">
        <v>422</v>
      </c>
      <c r="C47" s="45" t="s">
        <v>613</v>
      </c>
      <c r="D47" s="45"/>
      <c r="E47" s="45"/>
      <c r="F47" s="187"/>
      <c r="G47" s="53"/>
      <c r="H47" s="45"/>
      <c r="I47" s="192"/>
      <c r="J47" s="192"/>
      <c r="K47" s="260"/>
      <c r="L47" s="69"/>
      <c r="M47" s="69"/>
      <c r="N47" s="69"/>
      <c r="O47" s="69"/>
      <c r="P47" s="69"/>
      <c r="Q47" s="69"/>
      <c r="R47" s="69"/>
      <c r="S47" s="69"/>
      <c r="T47" s="69"/>
      <c r="U47" s="112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0"/>
      <c r="AN47" s="60"/>
      <c r="AO47" s="60"/>
      <c r="AP47" s="60"/>
      <c r="AQ47" s="60"/>
      <c r="AR47" s="60"/>
      <c r="AS47" s="60"/>
      <c r="AT47" s="60"/>
      <c r="AU47" s="60"/>
      <c r="AV47" s="60"/>
    </row>
    <row r="48" ht="15.75" customHeight="1">
      <c r="A48" s="42" t="s">
        <v>144</v>
      </c>
      <c r="B48" s="42" t="s">
        <v>422</v>
      </c>
      <c r="C48" s="45" t="s">
        <v>619</v>
      </c>
      <c r="D48" s="45"/>
      <c r="E48" s="45"/>
      <c r="F48" s="187"/>
      <c r="G48" s="53"/>
      <c r="H48" s="45"/>
      <c r="I48" s="258"/>
      <c r="J48" s="258"/>
      <c r="K48" s="262"/>
      <c r="L48" s="59"/>
      <c r="M48" s="59"/>
      <c r="N48" s="59"/>
      <c r="O48" s="59"/>
      <c r="P48" s="59"/>
      <c r="Q48" s="59"/>
      <c r="R48" s="59"/>
      <c r="S48" s="59"/>
      <c r="T48" s="59"/>
      <c r="U48" s="116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60"/>
      <c r="AN48" s="60"/>
      <c r="AO48" s="60"/>
      <c r="AP48" s="60"/>
      <c r="AQ48" s="60"/>
      <c r="AR48" s="60"/>
      <c r="AS48" s="60"/>
      <c r="AT48" s="60"/>
      <c r="AU48" s="60"/>
      <c r="AV48" s="60"/>
    </row>
    <row r="49" ht="15.75" customHeight="1">
      <c r="A49" s="42" t="s">
        <v>144</v>
      </c>
      <c r="B49" s="42" t="s">
        <v>48</v>
      </c>
      <c r="C49" s="42" t="s">
        <v>154</v>
      </c>
      <c r="D49" s="42" t="s">
        <v>51</v>
      </c>
      <c r="E49" s="42" t="s">
        <v>155</v>
      </c>
      <c r="F49" s="149" t="s">
        <v>156</v>
      </c>
      <c r="G49" s="87">
        <v>6.39354895373E11</v>
      </c>
      <c r="H49" s="94" t="s">
        <v>83</v>
      </c>
      <c r="I49" s="55">
        <v>45635.0</v>
      </c>
      <c r="J49" s="55">
        <v>46000.0</v>
      </c>
      <c r="K49" s="56"/>
      <c r="L49" s="69"/>
      <c r="M49" s="69"/>
      <c r="N49" s="75" t="s">
        <v>154</v>
      </c>
      <c r="O49" s="75" t="s">
        <v>159</v>
      </c>
      <c r="P49" s="75" t="s">
        <v>154</v>
      </c>
      <c r="Q49" s="69"/>
      <c r="R49" s="69"/>
      <c r="S49" s="69"/>
      <c r="T49" s="69"/>
      <c r="U49" s="112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0"/>
      <c r="AN49" s="60"/>
      <c r="AO49" s="60"/>
      <c r="AP49" s="60"/>
      <c r="AQ49" s="60"/>
      <c r="AR49" s="60"/>
      <c r="AS49" s="60"/>
      <c r="AT49" s="60"/>
      <c r="AU49" s="60"/>
      <c r="AV49" s="60"/>
    </row>
    <row r="50" ht="15.75" customHeight="1">
      <c r="A50" s="42" t="s">
        <v>144</v>
      </c>
      <c r="B50" s="42" t="s">
        <v>48</v>
      </c>
      <c r="C50" s="42" t="s">
        <v>145</v>
      </c>
      <c r="D50" s="42" t="s">
        <v>72</v>
      </c>
      <c r="E50" s="42" t="s">
        <v>146</v>
      </c>
      <c r="F50" s="52" t="s">
        <v>147</v>
      </c>
      <c r="G50" s="53"/>
      <c r="H50" s="94" t="s">
        <v>83</v>
      </c>
      <c r="I50" s="264">
        <v>45809.0</v>
      </c>
      <c r="J50" s="264">
        <v>46174.0</v>
      </c>
      <c r="K50" s="139"/>
      <c r="L50" s="59"/>
      <c r="M50" s="59"/>
      <c r="N50" s="58" t="s">
        <v>145</v>
      </c>
      <c r="O50" s="88" t="s">
        <v>152</v>
      </c>
      <c r="P50" s="58" t="s">
        <v>145</v>
      </c>
      <c r="Q50" s="59"/>
      <c r="R50" s="59"/>
      <c r="S50" s="59"/>
      <c r="T50" s="59"/>
      <c r="U50" s="116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60"/>
      <c r="AN50" s="60"/>
      <c r="AO50" s="60"/>
      <c r="AP50" s="60"/>
      <c r="AQ50" s="60"/>
      <c r="AR50" s="60"/>
      <c r="AS50" s="60"/>
      <c r="AT50" s="60"/>
      <c r="AU50" s="60"/>
      <c r="AV50" s="60"/>
    </row>
    <row r="51" ht="15.75" customHeight="1">
      <c r="A51" s="42" t="s">
        <v>144</v>
      </c>
      <c r="B51" s="42" t="s">
        <v>422</v>
      </c>
      <c r="C51" s="45" t="s">
        <v>649</v>
      </c>
      <c r="D51" s="45" t="s">
        <v>650</v>
      </c>
      <c r="E51" s="45"/>
      <c r="F51" s="187"/>
      <c r="G51" s="53"/>
      <c r="H51" s="45"/>
      <c r="I51" s="258"/>
      <c r="J51" s="258"/>
      <c r="K51" s="262"/>
      <c r="L51" s="59"/>
      <c r="M51" s="59"/>
      <c r="N51" s="59"/>
      <c r="O51" s="59"/>
      <c r="P51" s="59"/>
      <c r="Q51" s="59"/>
      <c r="R51" s="59"/>
      <c r="S51" s="59"/>
      <c r="T51" s="59"/>
      <c r="U51" s="116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60"/>
      <c r="AN51" s="60"/>
      <c r="AO51" s="60"/>
      <c r="AP51" s="60"/>
      <c r="AQ51" s="60"/>
      <c r="AR51" s="60"/>
      <c r="AS51" s="60"/>
      <c r="AT51" s="60"/>
      <c r="AU51" s="60"/>
      <c r="AV51" s="60"/>
    </row>
    <row r="52" ht="15.75" customHeight="1">
      <c r="A52" s="42" t="s">
        <v>144</v>
      </c>
      <c r="B52" s="42" t="s">
        <v>422</v>
      </c>
      <c r="C52" s="45" t="s">
        <v>660</v>
      </c>
      <c r="D52" s="45"/>
      <c r="E52" s="45"/>
      <c r="F52" s="187"/>
      <c r="G52" s="53"/>
      <c r="H52" s="45"/>
      <c r="I52" s="192"/>
      <c r="J52" s="192"/>
      <c r="K52" s="260"/>
      <c r="L52" s="69"/>
      <c r="M52" s="69"/>
      <c r="N52" s="69"/>
      <c r="O52" s="69"/>
      <c r="P52" s="69"/>
      <c r="Q52" s="69"/>
      <c r="R52" s="69"/>
      <c r="S52" s="69"/>
      <c r="T52" s="69"/>
      <c r="U52" s="112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0"/>
      <c r="AN52" s="60"/>
      <c r="AO52" s="60"/>
      <c r="AP52" s="60"/>
      <c r="AQ52" s="60"/>
      <c r="AR52" s="60"/>
      <c r="AS52" s="60"/>
      <c r="AT52" s="60"/>
      <c r="AU52" s="60"/>
      <c r="AV52" s="60"/>
    </row>
    <row r="53" ht="15.75" customHeight="1">
      <c r="A53" s="42" t="s">
        <v>144</v>
      </c>
      <c r="B53" s="42" t="s">
        <v>104</v>
      </c>
      <c r="C53" s="42" t="s">
        <v>667</v>
      </c>
      <c r="D53" s="42" t="s">
        <v>72</v>
      </c>
      <c r="E53" s="42" t="s">
        <v>668</v>
      </c>
      <c r="F53" s="187"/>
      <c r="G53" s="44"/>
      <c r="H53" s="94" t="s">
        <v>58</v>
      </c>
      <c r="I53" s="258"/>
      <c r="J53" s="258"/>
      <c r="K53" s="262"/>
      <c r="L53" s="59"/>
      <c r="M53" s="59"/>
      <c r="N53" s="58" t="s">
        <v>667</v>
      </c>
      <c r="O53" s="59"/>
      <c r="P53" s="265"/>
      <c r="Q53" s="59"/>
      <c r="R53" s="59"/>
      <c r="S53" s="59"/>
      <c r="T53" s="59"/>
      <c r="U53" s="116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60"/>
      <c r="AN53" s="60"/>
      <c r="AO53" s="60"/>
      <c r="AP53" s="60"/>
      <c r="AQ53" s="60"/>
      <c r="AR53" s="60"/>
      <c r="AS53" s="60"/>
      <c r="AT53" s="60"/>
      <c r="AU53" s="60"/>
      <c r="AV53" s="60"/>
    </row>
    <row r="54" ht="15.75" customHeight="1">
      <c r="A54" s="42" t="s">
        <v>144</v>
      </c>
      <c r="B54" s="42" t="s">
        <v>422</v>
      </c>
      <c r="C54" s="45" t="s">
        <v>677</v>
      </c>
      <c r="D54" s="45"/>
      <c r="E54" s="45"/>
      <c r="F54" s="187"/>
      <c r="G54" s="53"/>
      <c r="H54" s="45"/>
      <c r="I54" s="192"/>
      <c r="J54" s="192"/>
      <c r="K54" s="260"/>
      <c r="L54" s="69"/>
      <c r="M54" s="69"/>
      <c r="N54" s="69"/>
      <c r="O54" s="69"/>
      <c r="P54" s="69"/>
      <c r="Q54" s="69"/>
      <c r="R54" s="69"/>
      <c r="S54" s="69"/>
      <c r="T54" s="69"/>
      <c r="U54" s="112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0"/>
      <c r="AN54" s="60"/>
      <c r="AO54" s="60"/>
      <c r="AP54" s="60"/>
      <c r="AQ54" s="60"/>
      <c r="AR54" s="60"/>
      <c r="AS54" s="60"/>
      <c r="AT54" s="60"/>
      <c r="AU54" s="60"/>
      <c r="AV54" s="60"/>
    </row>
    <row r="55" ht="15.75" customHeight="1">
      <c r="A55" s="42" t="s">
        <v>144</v>
      </c>
      <c r="B55" s="42" t="s">
        <v>422</v>
      </c>
      <c r="C55" s="42" t="s">
        <v>684</v>
      </c>
      <c r="D55" s="42" t="s">
        <v>72</v>
      </c>
      <c r="E55" s="42" t="s">
        <v>685</v>
      </c>
      <c r="F55" s="187"/>
      <c r="G55" s="44"/>
      <c r="H55" s="94" t="s">
        <v>58</v>
      </c>
      <c r="I55" s="192"/>
      <c r="J55" s="192"/>
      <c r="K55" s="260"/>
      <c r="L55" s="69"/>
      <c r="M55" s="69"/>
      <c r="N55" s="75" t="s">
        <v>684</v>
      </c>
      <c r="O55" s="76" t="s">
        <v>689</v>
      </c>
      <c r="P55" s="75" t="s">
        <v>684</v>
      </c>
      <c r="Q55" s="69"/>
      <c r="R55" s="69"/>
      <c r="S55" s="69"/>
      <c r="T55" s="69"/>
      <c r="U55" s="112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0"/>
      <c r="AN55" s="60"/>
      <c r="AO55" s="60"/>
      <c r="AP55" s="60"/>
      <c r="AQ55" s="60"/>
      <c r="AR55" s="60"/>
      <c r="AS55" s="60"/>
      <c r="AT55" s="60"/>
      <c r="AU55" s="60"/>
      <c r="AV55" s="60"/>
    </row>
    <row r="56" ht="15.75" customHeight="1">
      <c r="A56" s="42" t="s">
        <v>144</v>
      </c>
      <c r="B56" s="42" t="s">
        <v>48</v>
      </c>
      <c r="C56" s="42" t="s">
        <v>696</v>
      </c>
      <c r="D56" s="42" t="s">
        <v>72</v>
      </c>
      <c r="E56" s="42" t="s">
        <v>697</v>
      </c>
      <c r="F56" s="187"/>
      <c r="G56" s="44"/>
      <c r="H56" s="94" t="s">
        <v>58</v>
      </c>
      <c r="I56" s="106">
        <v>45152.0</v>
      </c>
      <c r="J56" s="258"/>
      <c r="K56" s="260"/>
      <c r="L56" s="59"/>
      <c r="M56" s="59"/>
      <c r="N56" s="58" t="s">
        <v>696</v>
      </c>
      <c r="O56" s="76" t="s">
        <v>698</v>
      </c>
      <c r="P56" s="77" t="s">
        <v>696</v>
      </c>
      <c r="Q56" s="59"/>
      <c r="R56" s="59"/>
      <c r="S56" s="59"/>
      <c r="T56" s="59"/>
      <c r="U56" s="116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60"/>
      <c r="AN56" s="60"/>
      <c r="AO56" s="60"/>
      <c r="AP56" s="60"/>
      <c r="AQ56" s="60"/>
      <c r="AR56" s="60"/>
      <c r="AS56" s="60"/>
      <c r="AT56" s="60"/>
      <c r="AU56" s="60"/>
      <c r="AV56" s="60"/>
    </row>
    <row r="57" ht="15.75" customHeight="1">
      <c r="A57" s="42" t="s">
        <v>144</v>
      </c>
      <c r="B57" s="42" t="s">
        <v>48</v>
      </c>
      <c r="C57" s="42" t="s">
        <v>186</v>
      </c>
      <c r="D57" s="42" t="s">
        <v>87</v>
      </c>
      <c r="E57" s="42" t="s">
        <v>468</v>
      </c>
      <c r="F57" s="149" t="s">
        <v>188</v>
      </c>
      <c r="G57" s="87">
        <v>6.39173052499E11</v>
      </c>
      <c r="H57" s="94" t="s">
        <v>83</v>
      </c>
      <c r="I57" s="55">
        <v>45474.0</v>
      </c>
      <c r="J57" s="55">
        <v>45839.0</v>
      </c>
      <c r="K57" s="56"/>
      <c r="L57" s="75" t="s">
        <v>190</v>
      </c>
      <c r="M57" s="69"/>
      <c r="N57" s="75" t="s">
        <v>186</v>
      </c>
      <c r="O57" s="76" t="s">
        <v>191</v>
      </c>
      <c r="P57" s="75" t="s">
        <v>186</v>
      </c>
      <c r="Q57" s="69"/>
      <c r="R57" s="69"/>
      <c r="S57" s="69"/>
      <c r="T57" s="59"/>
      <c r="U57" s="116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60"/>
      <c r="AN57" s="60"/>
      <c r="AO57" s="60"/>
      <c r="AP57" s="60"/>
      <c r="AQ57" s="60"/>
      <c r="AR57" s="60"/>
      <c r="AS57" s="60"/>
      <c r="AT57" s="60"/>
      <c r="AU57" s="60"/>
      <c r="AV57" s="60"/>
    </row>
    <row r="58" ht="15.75" customHeight="1">
      <c r="A58" s="42" t="s">
        <v>144</v>
      </c>
      <c r="B58" s="42" t="s">
        <v>422</v>
      </c>
      <c r="C58" s="42" t="s">
        <v>174</v>
      </c>
      <c r="D58" s="42" t="s">
        <v>72</v>
      </c>
      <c r="E58" s="42" t="s">
        <v>98</v>
      </c>
      <c r="F58" s="52" t="s">
        <v>55</v>
      </c>
      <c r="G58" s="53"/>
      <c r="H58" s="94" t="s">
        <v>83</v>
      </c>
      <c r="I58" s="192"/>
      <c r="J58" s="192"/>
      <c r="K58" s="260"/>
      <c r="L58" s="69"/>
      <c r="M58" s="69"/>
      <c r="N58" s="75" t="s">
        <v>174</v>
      </c>
      <c r="O58" s="76" t="s">
        <v>177</v>
      </c>
      <c r="P58" s="75" t="s">
        <v>174</v>
      </c>
      <c r="Q58" s="69"/>
      <c r="R58" s="69"/>
      <c r="S58" s="69"/>
      <c r="T58" s="59"/>
      <c r="U58" s="116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60"/>
      <c r="AN58" s="60"/>
      <c r="AO58" s="60"/>
      <c r="AP58" s="60"/>
      <c r="AQ58" s="60"/>
      <c r="AR58" s="60"/>
      <c r="AS58" s="60"/>
      <c r="AT58" s="60"/>
      <c r="AU58" s="60"/>
      <c r="AV58" s="60"/>
    </row>
    <row r="59" ht="15.75" customHeight="1">
      <c r="A59" s="42" t="s">
        <v>196</v>
      </c>
      <c r="B59" s="42" t="s">
        <v>48</v>
      </c>
      <c r="C59" s="42" t="s">
        <v>282</v>
      </c>
      <c r="D59" s="42" t="s">
        <v>72</v>
      </c>
      <c r="E59" s="42" t="s">
        <v>283</v>
      </c>
      <c r="F59" s="52" t="s">
        <v>284</v>
      </c>
      <c r="G59" s="53"/>
      <c r="H59" s="94" t="s">
        <v>83</v>
      </c>
      <c r="I59" s="228">
        <v>45729.0</v>
      </c>
      <c r="J59" s="228">
        <v>45821.0</v>
      </c>
      <c r="K59" s="56"/>
      <c r="L59" s="69"/>
      <c r="M59" s="69" t="s">
        <v>711</v>
      </c>
      <c r="N59" s="75" t="s">
        <v>282</v>
      </c>
      <c r="O59" s="76" t="s">
        <v>287</v>
      </c>
      <c r="P59" s="77" t="s">
        <v>282</v>
      </c>
      <c r="Q59" s="69"/>
      <c r="R59" s="69"/>
      <c r="S59" s="69"/>
      <c r="T59" s="69"/>
      <c r="U59" s="112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0"/>
      <c r="AN59" s="60"/>
      <c r="AO59" s="60"/>
      <c r="AP59" s="60"/>
      <c r="AQ59" s="60"/>
      <c r="AR59" s="60"/>
      <c r="AS59" s="60"/>
      <c r="AT59" s="60"/>
      <c r="AU59" s="60"/>
      <c r="AV59" s="60"/>
    </row>
    <row r="60" ht="15.75" customHeight="1">
      <c r="A60" s="42" t="s">
        <v>196</v>
      </c>
      <c r="B60" s="42" t="s">
        <v>48</v>
      </c>
      <c r="C60" s="42" t="s">
        <v>233</v>
      </c>
      <c r="D60" s="42" t="s">
        <v>72</v>
      </c>
      <c r="E60" s="42" t="s">
        <v>234</v>
      </c>
      <c r="F60" s="187" t="s">
        <v>235</v>
      </c>
      <c r="G60" s="44"/>
      <c r="H60" s="94" t="s">
        <v>58</v>
      </c>
      <c r="I60" s="55">
        <v>45294.0</v>
      </c>
      <c r="J60" s="277" t="s">
        <v>221</v>
      </c>
      <c r="K60" s="278"/>
      <c r="L60" s="69"/>
      <c r="M60" s="69"/>
      <c r="N60" s="75" t="s">
        <v>233</v>
      </c>
      <c r="O60" s="76" t="s">
        <v>239</v>
      </c>
      <c r="P60" s="42"/>
      <c r="Q60" s="69"/>
      <c r="R60" s="69"/>
      <c r="S60" s="69"/>
      <c r="T60" s="69"/>
      <c r="U60" s="112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0"/>
      <c r="AN60" s="60"/>
      <c r="AO60" s="60"/>
      <c r="AP60" s="60"/>
      <c r="AQ60" s="60"/>
      <c r="AR60" s="60"/>
      <c r="AS60" s="60"/>
      <c r="AT60" s="60"/>
      <c r="AU60" s="60"/>
      <c r="AV60" s="60"/>
    </row>
    <row r="61" ht="15.75" customHeight="1">
      <c r="A61" s="42" t="s">
        <v>196</v>
      </c>
      <c r="B61" s="42" t="s">
        <v>48</v>
      </c>
      <c r="C61" s="42" t="s">
        <v>202</v>
      </c>
      <c r="D61" s="42" t="s">
        <v>72</v>
      </c>
      <c r="E61" s="42" t="s">
        <v>203</v>
      </c>
      <c r="F61" s="187" t="s">
        <v>204</v>
      </c>
      <c r="G61" s="44">
        <v>6.39173195794E11</v>
      </c>
      <c r="H61" s="94" t="s">
        <v>58</v>
      </c>
      <c r="I61" s="55">
        <v>45698.0</v>
      </c>
      <c r="J61" s="277" t="s">
        <v>221</v>
      </c>
      <c r="K61" s="278"/>
      <c r="L61" s="69"/>
      <c r="M61" s="69"/>
      <c r="N61" s="75" t="s">
        <v>202</v>
      </c>
      <c r="O61" s="76" t="s">
        <v>209</v>
      </c>
      <c r="P61" s="42"/>
      <c r="Q61" s="69"/>
      <c r="R61" s="69"/>
      <c r="S61" s="69"/>
      <c r="T61" s="69"/>
      <c r="U61" s="112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0"/>
      <c r="AN61" s="60"/>
      <c r="AO61" s="60"/>
      <c r="AP61" s="60"/>
      <c r="AQ61" s="60"/>
      <c r="AR61" s="60"/>
      <c r="AS61" s="60"/>
      <c r="AT61" s="60"/>
      <c r="AU61" s="60"/>
      <c r="AV61" s="60"/>
    </row>
    <row r="62" ht="15.75" customHeight="1">
      <c r="A62" s="42" t="s">
        <v>196</v>
      </c>
      <c r="B62" s="42" t="s">
        <v>48</v>
      </c>
      <c r="C62" s="42" t="s">
        <v>242</v>
      </c>
      <c r="D62" s="42" t="s">
        <v>72</v>
      </c>
      <c r="E62" s="42" t="s">
        <v>245</v>
      </c>
      <c r="F62" s="52" t="s">
        <v>55</v>
      </c>
      <c r="G62" s="44"/>
      <c r="H62" s="94" t="s">
        <v>58</v>
      </c>
      <c r="I62" s="106">
        <v>45022.0</v>
      </c>
      <c r="J62" s="121" t="s">
        <v>221</v>
      </c>
      <c r="K62" s="122"/>
      <c r="L62" s="59"/>
      <c r="M62" s="59"/>
      <c r="N62" s="58" t="s">
        <v>242</v>
      </c>
      <c r="O62" s="88" t="s">
        <v>248</v>
      </c>
      <c r="P62" s="77" t="s">
        <v>242</v>
      </c>
      <c r="Q62" s="59"/>
      <c r="R62" s="59"/>
      <c r="S62" s="59"/>
      <c r="T62" s="59"/>
      <c r="U62" s="116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60"/>
      <c r="AN62" s="60"/>
      <c r="AO62" s="60"/>
      <c r="AP62" s="60"/>
      <c r="AQ62" s="60"/>
      <c r="AR62" s="60"/>
      <c r="AS62" s="60"/>
      <c r="AT62" s="60"/>
      <c r="AU62" s="60"/>
      <c r="AV62" s="60"/>
    </row>
    <row r="63" ht="15.75" customHeight="1">
      <c r="A63" s="42" t="s">
        <v>196</v>
      </c>
      <c r="B63" s="42" t="s">
        <v>48</v>
      </c>
      <c r="C63" s="42" t="s">
        <v>269</v>
      </c>
      <c r="D63" s="42" t="s">
        <v>72</v>
      </c>
      <c r="E63" s="42" t="s">
        <v>270</v>
      </c>
      <c r="F63" s="187" t="s">
        <v>271</v>
      </c>
      <c r="G63" s="44"/>
      <c r="H63" s="94" t="s">
        <v>58</v>
      </c>
      <c r="I63" s="55">
        <v>45294.0</v>
      </c>
      <c r="J63" s="277" t="s">
        <v>221</v>
      </c>
      <c r="K63" s="278"/>
      <c r="L63" s="69"/>
      <c r="M63" s="69"/>
      <c r="N63" s="75" t="s">
        <v>269</v>
      </c>
      <c r="O63" s="76" t="s">
        <v>273</v>
      </c>
      <c r="P63" s="75" t="s">
        <v>269</v>
      </c>
      <c r="Q63" s="69"/>
      <c r="R63" s="69"/>
      <c r="S63" s="69"/>
      <c r="T63" s="69"/>
      <c r="U63" s="112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0"/>
      <c r="AN63" s="60"/>
      <c r="AO63" s="60"/>
      <c r="AP63" s="60"/>
      <c r="AQ63" s="60"/>
      <c r="AR63" s="60"/>
      <c r="AS63" s="60"/>
      <c r="AT63" s="60"/>
      <c r="AU63" s="60"/>
      <c r="AV63" s="60"/>
    </row>
    <row r="64" ht="15.75" customHeight="1">
      <c r="A64" s="42" t="s">
        <v>196</v>
      </c>
      <c r="B64" s="42" t="s">
        <v>48</v>
      </c>
      <c r="C64" s="42" t="s">
        <v>222</v>
      </c>
      <c r="D64" s="42" t="s">
        <v>72</v>
      </c>
      <c r="E64" s="42" t="s">
        <v>223</v>
      </c>
      <c r="F64" s="187" t="s">
        <v>224</v>
      </c>
      <c r="G64" s="44"/>
      <c r="H64" s="94" t="s">
        <v>58</v>
      </c>
      <c r="I64" s="55">
        <v>45294.0</v>
      </c>
      <c r="J64" s="277" t="s">
        <v>221</v>
      </c>
      <c r="K64" s="278"/>
      <c r="L64" s="69"/>
      <c r="M64" s="69"/>
      <c r="N64" s="75" t="s">
        <v>222</v>
      </c>
      <c r="O64" s="76" t="s">
        <v>230</v>
      </c>
      <c r="P64" s="75" t="s">
        <v>222</v>
      </c>
      <c r="Q64" s="69"/>
      <c r="R64" s="69"/>
      <c r="S64" s="69"/>
      <c r="T64" s="69"/>
      <c r="U64" s="112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0"/>
      <c r="AN64" s="60"/>
      <c r="AO64" s="60"/>
      <c r="AP64" s="60"/>
      <c r="AQ64" s="60"/>
      <c r="AR64" s="60"/>
      <c r="AS64" s="60"/>
      <c r="AT64" s="60"/>
      <c r="AU64" s="60"/>
      <c r="AV64" s="60"/>
    </row>
    <row r="65" ht="15.75" customHeight="1">
      <c r="A65" s="42" t="s">
        <v>196</v>
      </c>
      <c r="B65" s="42" t="s">
        <v>422</v>
      </c>
      <c r="C65" s="45" t="s">
        <v>729</v>
      </c>
      <c r="D65" s="45"/>
      <c r="E65" s="45"/>
      <c r="F65" s="187"/>
      <c r="G65" s="53"/>
      <c r="H65" s="45"/>
      <c r="I65" s="192"/>
      <c r="J65" s="192"/>
      <c r="K65" s="260"/>
      <c r="L65" s="69"/>
      <c r="M65" s="69"/>
      <c r="N65" s="69"/>
      <c r="O65" s="69"/>
      <c r="P65" s="69"/>
      <c r="Q65" s="69"/>
      <c r="R65" s="69"/>
      <c r="S65" s="69"/>
      <c r="T65" s="69"/>
      <c r="U65" s="112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0"/>
      <c r="AN65" s="60"/>
      <c r="AO65" s="60"/>
      <c r="AP65" s="60"/>
      <c r="AQ65" s="60"/>
      <c r="AR65" s="60"/>
      <c r="AS65" s="60"/>
      <c r="AT65" s="60"/>
      <c r="AU65" s="60"/>
      <c r="AV65" s="60"/>
    </row>
    <row r="66" ht="15.75" customHeight="1">
      <c r="A66" s="42" t="s">
        <v>196</v>
      </c>
      <c r="B66" s="42" t="s">
        <v>48</v>
      </c>
      <c r="C66" s="42" t="s">
        <v>734</v>
      </c>
      <c r="D66" s="42" t="s">
        <v>72</v>
      </c>
      <c r="E66" s="42" t="s">
        <v>245</v>
      </c>
      <c r="F66" s="187"/>
      <c r="G66" s="44"/>
      <c r="H66" s="94" t="s">
        <v>58</v>
      </c>
      <c r="I66" s="106">
        <v>45092.0</v>
      </c>
      <c r="J66" s="121">
        <v>46188.0</v>
      </c>
      <c r="K66" s="122"/>
      <c r="L66" s="59"/>
      <c r="M66" s="59"/>
      <c r="N66" s="58" t="s">
        <v>734</v>
      </c>
      <c r="O66" s="88" t="s">
        <v>736</v>
      </c>
      <c r="P66" s="77" t="s">
        <v>734</v>
      </c>
      <c r="Q66" s="59"/>
      <c r="R66" s="59"/>
      <c r="S66" s="59"/>
      <c r="T66" s="59"/>
      <c r="U66" s="116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60"/>
      <c r="AN66" s="60"/>
      <c r="AO66" s="60"/>
      <c r="AP66" s="60"/>
      <c r="AQ66" s="60"/>
      <c r="AR66" s="60"/>
      <c r="AS66" s="60"/>
      <c r="AT66" s="60"/>
      <c r="AU66" s="60"/>
      <c r="AV66" s="60"/>
    </row>
    <row r="67" ht="15.75" customHeight="1">
      <c r="A67" s="42" t="s">
        <v>196</v>
      </c>
      <c r="B67" s="42" t="s">
        <v>422</v>
      </c>
      <c r="C67" s="42" t="s">
        <v>250</v>
      </c>
      <c r="D67" s="42" t="s">
        <v>72</v>
      </c>
      <c r="E67" s="42" t="s">
        <v>251</v>
      </c>
      <c r="F67" s="187" t="s">
        <v>55</v>
      </c>
      <c r="G67" s="44"/>
      <c r="H67" s="94" t="s">
        <v>58</v>
      </c>
      <c r="I67" s="106">
        <v>45143.0</v>
      </c>
      <c r="J67" s="258"/>
      <c r="K67" s="56"/>
      <c r="L67" s="59"/>
      <c r="M67" s="59"/>
      <c r="N67" s="58" t="s">
        <v>250</v>
      </c>
      <c r="O67" s="88" t="s">
        <v>253</v>
      </c>
      <c r="P67" s="77" t="s">
        <v>250</v>
      </c>
      <c r="Q67" s="59"/>
      <c r="R67" s="59"/>
      <c r="S67" s="59"/>
      <c r="T67" s="59"/>
      <c r="U67" s="116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60"/>
      <c r="AN67" s="60"/>
      <c r="AO67" s="60"/>
      <c r="AP67" s="60"/>
      <c r="AQ67" s="60"/>
      <c r="AR67" s="60"/>
      <c r="AS67" s="60"/>
      <c r="AT67" s="60"/>
      <c r="AU67" s="60"/>
      <c r="AV67" s="60"/>
    </row>
    <row r="68" ht="15.75" customHeight="1">
      <c r="A68" s="42" t="s">
        <v>196</v>
      </c>
      <c r="B68" s="42" t="s">
        <v>48</v>
      </c>
      <c r="C68" s="42" t="s">
        <v>256</v>
      </c>
      <c r="D68" s="42" t="s">
        <v>72</v>
      </c>
      <c r="E68" s="42" t="s">
        <v>257</v>
      </c>
      <c r="F68" s="187" t="s">
        <v>55</v>
      </c>
      <c r="G68" s="44"/>
      <c r="H68" s="94" t="s">
        <v>58</v>
      </c>
      <c r="I68" s="55">
        <v>45184.0</v>
      </c>
      <c r="J68" s="277" t="s">
        <v>221</v>
      </c>
      <c r="K68" s="278"/>
      <c r="L68" s="69"/>
      <c r="M68" s="69"/>
      <c r="N68" s="75" t="s">
        <v>256</v>
      </c>
      <c r="O68" s="76" t="s">
        <v>259</v>
      </c>
      <c r="P68" s="75" t="s">
        <v>256</v>
      </c>
      <c r="Q68" s="69"/>
      <c r="R68" s="69"/>
      <c r="S68" s="69"/>
      <c r="T68" s="69"/>
      <c r="U68" s="112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0"/>
      <c r="AN68" s="60"/>
      <c r="AO68" s="60"/>
      <c r="AP68" s="60"/>
      <c r="AQ68" s="60"/>
      <c r="AR68" s="60"/>
      <c r="AS68" s="60"/>
      <c r="AT68" s="60"/>
      <c r="AU68" s="60"/>
      <c r="AV68" s="60"/>
    </row>
    <row r="69" ht="15.75" customHeight="1">
      <c r="A69" s="42" t="s">
        <v>196</v>
      </c>
      <c r="B69" s="42" t="s">
        <v>48</v>
      </c>
      <c r="C69" s="42" t="s">
        <v>274</v>
      </c>
      <c r="D69" s="42" t="s">
        <v>72</v>
      </c>
      <c r="E69" s="42" t="s">
        <v>275</v>
      </c>
      <c r="F69" s="52" t="s">
        <v>276</v>
      </c>
      <c r="G69" s="53"/>
      <c r="H69" s="94" t="s">
        <v>83</v>
      </c>
      <c r="I69" s="258"/>
      <c r="J69" s="258"/>
      <c r="K69" s="262"/>
      <c r="L69" s="59"/>
      <c r="M69" s="59"/>
      <c r="N69" s="58" t="s">
        <v>274</v>
      </c>
      <c r="O69" s="88" t="s">
        <v>277</v>
      </c>
      <c r="P69" s="77" t="s">
        <v>274</v>
      </c>
      <c r="Q69" s="59"/>
      <c r="R69" s="59"/>
      <c r="S69" s="59"/>
      <c r="T69" s="59"/>
      <c r="U69" s="116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60"/>
      <c r="AN69" s="60"/>
      <c r="AO69" s="60"/>
      <c r="AP69" s="60"/>
      <c r="AQ69" s="60"/>
      <c r="AR69" s="60"/>
      <c r="AS69" s="60"/>
      <c r="AT69" s="60"/>
      <c r="AU69" s="60"/>
      <c r="AV69" s="60"/>
    </row>
    <row r="70" ht="15.75" customHeight="1">
      <c r="A70" s="42" t="s">
        <v>196</v>
      </c>
      <c r="B70" s="42" t="s">
        <v>48</v>
      </c>
      <c r="C70" s="42" t="s">
        <v>212</v>
      </c>
      <c r="D70" s="42" t="s">
        <v>72</v>
      </c>
      <c r="E70" s="42" t="s">
        <v>213</v>
      </c>
      <c r="F70" s="187" t="s">
        <v>214</v>
      </c>
      <c r="G70" s="44">
        <v>6.39237415922E11</v>
      </c>
      <c r="H70" s="94" t="s">
        <v>58</v>
      </c>
      <c r="I70" s="55">
        <v>45184.0</v>
      </c>
      <c r="J70" s="277" t="s">
        <v>221</v>
      </c>
      <c r="K70" s="278"/>
      <c r="L70" s="69"/>
      <c r="M70" s="69"/>
      <c r="N70" s="75" t="s">
        <v>212</v>
      </c>
      <c r="O70" s="76" t="s">
        <v>217</v>
      </c>
      <c r="P70" s="77" t="s">
        <v>212</v>
      </c>
      <c r="Q70" s="69"/>
      <c r="R70" s="69"/>
      <c r="S70" s="69"/>
      <c r="T70" s="69"/>
      <c r="U70" s="112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0"/>
      <c r="AN70" s="60"/>
      <c r="AO70" s="60"/>
      <c r="AP70" s="60"/>
      <c r="AQ70" s="60"/>
      <c r="AR70" s="60"/>
      <c r="AS70" s="60"/>
      <c r="AT70" s="60"/>
      <c r="AU70" s="60"/>
      <c r="AV70" s="60"/>
    </row>
    <row r="71" ht="15.75" customHeight="1">
      <c r="A71" s="42" t="s">
        <v>196</v>
      </c>
      <c r="B71" s="42" t="s">
        <v>48</v>
      </c>
      <c r="C71" s="42" t="s">
        <v>767</v>
      </c>
      <c r="D71" s="42" t="s">
        <v>72</v>
      </c>
      <c r="E71" s="42"/>
      <c r="F71" s="187"/>
      <c r="G71" s="44"/>
      <c r="H71" s="94" t="s">
        <v>58</v>
      </c>
      <c r="I71" s="258"/>
      <c r="J71" s="258"/>
      <c r="K71" s="262"/>
      <c r="L71" s="59"/>
      <c r="M71" s="59"/>
      <c r="N71" s="58" t="s">
        <v>767</v>
      </c>
      <c r="O71" s="88" t="s">
        <v>769</v>
      </c>
      <c r="P71" s="58" t="s">
        <v>767</v>
      </c>
      <c r="Q71" s="59"/>
      <c r="R71" s="59"/>
      <c r="S71" s="59"/>
      <c r="T71" s="59"/>
      <c r="U71" s="116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60"/>
      <c r="AN71" s="60"/>
      <c r="AO71" s="60"/>
      <c r="AP71" s="60"/>
      <c r="AQ71" s="60"/>
      <c r="AR71" s="60"/>
      <c r="AS71" s="60"/>
      <c r="AT71" s="60"/>
      <c r="AU71" s="60"/>
      <c r="AV71" s="60"/>
    </row>
    <row r="72" ht="15.75" customHeight="1">
      <c r="A72" s="42" t="s">
        <v>196</v>
      </c>
      <c r="B72" s="42" t="s">
        <v>48</v>
      </c>
      <c r="C72" s="42" t="s">
        <v>197</v>
      </c>
      <c r="D72" s="42" t="s">
        <v>72</v>
      </c>
      <c r="E72" s="42" t="s">
        <v>199</v>
      </c>
      <c r="F72" s="187" t="s">
        <v>200</v>
      </c>
      <c r="G72" s="44"/>
      <c r="H72" s="94" t="s">
        <v>58</v>
      </c>
      <c r="I72" s="258"/>
      <c r="J72" s="258"/>
      <c r="K72" s="262"/>
      <c r="L72" s="59"/>
      <c r="M72" s="59"/>
      <c r="N72" s="58" t="s">
        <v>197</v>
      </c>
      <c r="O72" s="88" t="s">
        <v>201</v>
      </c>
      <c r="P72" s="88" t="s">
        <v>197</v>
      </c>
      <c r="Q72" s="59"/>
      <c r="R72" s="59"/>
      <c r="S72" s="59"/>
      <c r="T72" s="69"/>
      <c r="U72" s="112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0"/>
      <c r="AN72" s="60"/>
      <c r="AO72" s="60"/>
      <c r="AP72" s="60"/>
      <c r="AQ72" s="60"/>
      <c r="AR72" s="60"/>
      <c r="AS72" s="60"/>
      <c r="AT72" s="60"/>
      <c r="AU72" s="60"/>
      <c r="AV72" s="60"/>
    </row>
    <row r="73" ht="15.75" customHeight="1">
      <c r="A73" s="42" t="s">
        <v>196</v>
      </c>
      <c r="B73" s="42" t="s">
        <v>422</v>
      </c>
      <c r="C73" s="45" t="s">
        <v>779</v>
      </c>
      <c r="D73" s="45"/>
      <c r="E73" s="45"/>
      <c r="F73" s="187"/>
      <c r="G73" s="53"/>
      <c r="H73" s="45"/>
      <c r="I73" s="258"/>
      <c r="J73" s="258"/>
      <c r="K73" s="262"/>
      <c r="L73" s="59"/>
      <c r="M73" s="59"/>
      <c r="N73" s="59"/>
      <c r="O73" s="59"/>
      <c r="P73" s="59"/>
      <c r="Q73" s="59"/>
      <c r="R73" s="59"/>
      <c r="S73" s="59"/>
      <c r="T73" s="69"/>
      <c r="U73" s="112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0"/>
      <c r="AN73" s="60"/>
      <c r="AO73" s="60"/>
      <c r="AP73" s="60"/>
      <c r="AQ73" s="60"/>
      <c r="AR73" s="60"/>
      <c r="AS73" s="60"/>
      <c r="AT73" s="60"/>
      <c r="AU73" s="60"/>
      <c r="AV73" s="60"/>
    </row>
    <row r="74" ht="15.75" customHeight="1">
      <c r="A74" s="42" t="s">
        <v>196</v>
      </c>
      <c r="B74" s="42" t="s">
        <v>48</v>
      </c>
      <c r="C74" s="42" t="s">
        <v>781</v>
      </c>
      <c r="D74" s="42"/>
      <c r="E74" s="42" t="s">
        <v>782</v>
      </c>
      <c r="F74" s="187"/>
      <c r="G74" s="44"/>
      <c r="H74" s="94" t="s">
        <v>58</v>
      </c>
      <c r="I74" s="258"/>
      <c r="J74" s="258"/>
      <c r="K74" s="262"/>
      <c r="L74" s="59"/>
      <c r="M74" s="59"/>
      <c r="N74" s="286" t="s">
        <v>781</v>
      </c>
      <c r="O74" s="88" t="s">
        <v>787</v>
      </c>
      <c r="P74" s="88" t="s">
        <v>781</v>
      </c>
      <c r="Q74" s="59"/>
      <c r="R74" s="59"/>
      <c r="S74" s="59"/>
      <c r="T74" s="69"/>
      <c r="U74" s="112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0"/>
      <c r="AN74" s="60"/>
      <c r="AO74" s="60"/>
      <c r="AP74" s="60"/>
      <c r="AQ74" s="60"/>
      <c r="AR74" s="60"/>
      <c r="AS74" s="60"/>
      <c r="AT74" s="60"/>
      <c r="AU74" s="60"/>
      <c r="AV74" s="60"/>
    </row>
    <row r="75" ht="15.75" customHeight="1">
      <c r="A75" s="42" t="s">
        <v>196</v>
      </c>
      <c r="B75" s="287" t="s">
        <v>48</v>
      </c>
      <c r="C75" s="287" t="s">
        <v>261</v>
      </c>
      <c r="D75" s="287" t="s">
        <v>72</v>
      </c>
      <c r="E75" s="287" t="s">
        <v>262</v>
      </c>
      <c r="F75" s="288" t="s">
        <v>55</v>
      </c>
      <c r="G75" s="289"/>
      <c r="H75" s="290" t="s">
        <v>58</v>
      </c>
      <c r="I75" s="258">
        <v>45107.0</v>
      </c>
      <c r="J75" s="258">
        <v>46203.0</v>
      </c>
      <c r="K75" s="262"/>
      <c r="L75" s="59"/>
      <c r="M75" s="59"/>
      <c r="N75" s="58" t="s">
        <v>261</v>
      </c>
      <c r="O75" s="88" t="s">
        <v>266</v>
      </c>
      <c r="P75" s="59"/>
      <c r="Q75" s="59"/>
      <c r="R75" s="59"/>
      <c r="S75" s="59"/>
      <c r="T75" s="262"/>
      <c r="U75" s="291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60"/>
      <c r="AN75" s="60"/>
      <c r="AO75" s="60"/>
      <c r="AP75" s="60"/>
      <c r="AQ75" s="60"/>
      <c r="AR75" s="60"/>
      <c r="AS75" s="60"/>
      <c r="AT75" s="60"/>
      <c r="AU75" s="60"/>
      <c r="AV75" s="60"/>
    </row>
    <row r="76" ht="15.75" customHeight="1">
      <c r="A76" s="42" t="s">
        <v>295</v>
      </c>
      <c r="B76" s="42" t="s">
        <v>104</v>
      </c>
      <c r="C76" s="42" t="s">
        <v>792</v>
      </c>
      <c r="D76" s="42" t="s">
        <v>72</v>
      </c>
      <c r="E76" s="42" t="s">
        <v>793</v>
      </c>
      <c r="F76" s="52" t="s">
        <v>794</v>
      </c>
      <c r="G76" s="53"/>
      <c r="H76" s="94" t="s">
        <v>83</v>
      </c>
      <c r="I76" s="258"/>
      <c r="J76" s="258"/>
      <c r="K76" s="262"/>
      <c r="L76" s="59" t="s">
        <v>799</v>
      </c>
      <c r="M76" s="59"/>
      <c r="N76" s="58" t="s">
        <v>792</v>
      </c>
      <c r="O76" s="59"/>
      <c r="P76" s="265"/>
      <c r="Q76" s="59"/>
      <c r="R76" s="59"/>
      <c r="S76" s="59"/>
      <c r="T76" s="59"/>
      <c r="U76" s="116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60"/>
      <c r="AN76" s="60"/>
      <c r="AO76" s="60"/>
      <c r="AP76" s="60"/>
      <c r="AQ76" s="60"/>
      <c r="AR76" s="60"/>
      <c r="AS76" s="60"/>
      <c r="AT76" s="60"/>
      <c r="AU76" s="60"/>
      <c r="AV76" s="60"/>
    </row>
    <row r="77" ht="15.75" customHeight="1">
      <c r="A77" s="42" t="s">
        <v>295</v>
      </c>
      <c r="B77" s="42" t="s">
        <v>48</v>
      </c>
      <c r="C77" s="42" t="s">
        <v>315</v>
      </c>
      <c r="D77" s="42" t="s">
        <v>72</v>
      </c>
      <c r="E77" s="42" t="s">
        <v>316</v>
      </c>
      <c r="F77" s="52" t="s">
        <v>317</v>
      </c>
      <c r="G77" s="53"/>
      <c r="H77" s="94" t="s">
        <v>83</v>
      </c>
      <c r="I77" s="106">
        <v>45611.0</v>
      </c>
      <c r="J77" s="121" t="s">
        <v>221</v>
      </c>
      <c r="K77" s="122"/>
      <c r="L77" s="59"/>
      <c r="M77" s="59" t="s">
        <v>604</v>
      </c>
      <c r="N77" s="58" t="s">
        <v>315</v>
      </c>
      <c r="O77" s="58" t="s">
        <v>318</v>
      </c>
      <c r="P77" s="58" t="s">
        <v>315</v>
      </c>
      <c r="Q77" s="59"/>
      <c r="R77" s="59"/>
      <c r="S77" s="59"/>
      <c r="T77" s="59"/>
      <c r="U77" s="116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60"/>
      <c r="AN77" s="60"/>
      <c r="AO77" s="60"/>
      <c r="AP77" s="60"/>
      <c r="AQ77" s="60"/>
      <c r="AR77" s="60"/>
      <c r="AS77" s="60"/>
      <c r="AT77" s="60"/>
      <c r="AU77" s="60"/>
      <c r="AV77" s="60"/>
    </row>
    <row r="78" ht="15.75" customHeight="1">
      <c r="A78" s="42" t="s">
        <v>295</v>
      </c>
      <c r="B78" s="42" t="s">
        <v>48</v>
      </c>
      <c r="C78" s="42" t="s">
        <v>296</v>
      </c>
      <c r="D78" s="42" t="s">
        <v>72</v>
      </c>
      <c r="E78" s="42" t="s">
        <v>297</v>
      </c>
      <c r="F78" s="187" t="s">
        <v>298</v>
      </c>
      <c r="G78" s="44"/>
      <c r="H78" s="94" t="s">
        <v>58</v>
      </c>
      <c r="I78" s="55">
        <v>45294.0</v>
      </c>
      <c r="J78" s="277" t="s">
        <v>221</v>
      </c>
      <c r="K78" s="278"/>
      <c r="L78" s="69"/>
      <c r="M78" s="69"/>
      <c r="N78" s="75" t="s">
        <v>296</v>
      </c>
      <c r="O78" s="76" t="s">
        <v>303</v>
      </c>
      <c r="P78" s="265"/>
      <c r="Q78" s="69"/>
      <c r="R78" s="69"/>
      <c r="S78" s="69"/>
      <c r="T78" s="69"/>
      <c r="U78" s="112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0"/>
      <c r="AN78" s="60"/>
      <c r="AO78" s="60"/>
      <c r="AP78" s="60"/>
      <c r="AQ78" s="60"/>
      <c r="AR78" s="60"/>
      <c r="AS78" s="60"/>
      <c r="AT78" s="60"/>
      <c r="AU78" s="60"/>
      <c r="AV78" s="60"/>
    </row>
    <row r="79" ht="15.75" customHeight="1">
      <c r="A79" s="42" t="s">
        <v>295</v>
      </c>
      <c r="B79" s="42" t="s">
        <v>104</v>
      </c>
      <c r="C79" s="42" t="s">
        <v>308</v>
      </c>
      <c r="D79" s="42" t="s">
        <v>72</v>
      </c>
      <c r="E79" s="42" t="s">
        <v>309</v>
      </c>
      <c r="F79" s="187" t="s">
        <v>310</v>
      </c>
      <c r="G79" s="44"/>
      <c r="H79" s="94" t="s">
        <v>58</v>
      </c>
      <c r="I79" s="106">
        <v>45070.0</v>
      </c>
      <c r="J79" s="121" t="s">
        <v>221</v>
      </c>
      <c r="K79" s="122"/>
      <c r="L79" s="59"/>
      <c r="M79" s="59"/>
      <c r="N79" s="286" t="s">
        <v>308</v>
      </c>
      <c r="O79" s="88" t="s">
        <v>312</v>
      </c>
      <c r="P79" s="265"/>
      <c r="Q79" s="59"/>
      <c r="R79" s="59"/>
      <c r="S79" s="59"/>
      <c r="T79" s="59"/>
      <c r="U79" s="116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60"/>
      <c r="AN79" s="60"/>
      <c r="AO79" s="60"/>
      <c r="AP79" s="60"/>
      <c r="AQ79" s="60"/>
      <c r="AR79" s="60"/>
      <c r="AS79" s="60"/>
      <c r="AT79" s="60"/>
      <c r="AU79" s="60"/>
      <c r="AV79" s="60"/>
    </row>
    <row r="80" ht="15.75" customHeight="1">
      <c r="A80" s="42" t="s">
        <v>295</v>
      </c>
      <c r="B80" s="42" t="s">
        <v>48</v>
      </c>
      <c r="C80" s="42" t="s">
        <v>808</v>
      </c>
      <c r="D80" s="42" t="s">
        <v>72</v>
      </c>
      <c r="E80" s="42" t="s">
        <v>809</v>
      </c>
      <c r="F80" s="187"/>
      <c r="G80" s="44"/>
      <c r="H80" s="94" t="s">
        <v>58</v>
      </c>
      <c r="I80" s="106">
        <v>45092.0</v>
      </c>
      <c r="J80" s="121" t="s">
        <v>221</v>
      </c>
      <c r="K80" s="122"/>
      <c r="L80" s="59"/>
      <c r="M80" s="59"/>
      <c r="N80" s="58" t="s">
        <v>808</v>
      </c>
      <c r="O80" s="88" t="s">
        <v>810</v>
      </c>
      <c r="P80" s="58" t="s">
        <v>808</v>
      </c>
      <c r="Q80" s="59"/>
      <c r="R80" s="59"/>
      <c r="S80" s="59"/>
      <c r="T80" s="59"/>
      <c r="U80" s="116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60"/>
      <c r="AN80" s="60"/>
      <c r="AO80" s="60"/>
      <c r="AP80" s="60"/>
      <c r="AQ80" s="60"/>
      <c r="AR80" s="60"/>
      <c r="AS80" s="60"/>
      <c r="AT80" s="60"/>
      <c r="AU80" s="60"/>
      <c r="AV80" s="60"/>
    </row>
    <row r="81" ht="15.75" customHeight="1">
      <c r="A81" s="42" t="s">
        <v>295</v>
      </c>
      <c r="B81" s="42" t="s">
        <v>48</v>
      </c>
      <c r="C81" s="42" t="s">
        <v>811</v>
      </c>
      <c r="D81" s="42" t="s">
        <v>87</v>
      </c>
      <c r="E81" s="42" t="s">
        <v>812</v>
      </c>
      <c r="F81" s="187"/>
      <c r="G81" s="44"/>
      <c r="H81" s="94" t="s">
        <v>58</v>
      </c>
      <c r="I81" s="106">
        <v>45100.0</v>
      </c>
      <c r="J81" s="121">
        <v>46196.0</v>
      </c>
      <c r="K81" s="122"/>
      <c r="L81" s="59"/>
      <c r="M81" s="59"/>
      <c r="N81" s="58" t="s">
        <v>811</v>
      </c>
      <c r="O81" s="88" t="s">
        <v>813</v>
      </c>
      <c r="P81" s="286" t="s">
        <v>811</v>
      </c>
      <c r="Q81" s="59"/>
      <c r="R81" s="59"/>
      <c r="S81" s="59"/>
      <c r="T81" s="59"/>
      <c r="U81" s="116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60"/>
      <c r="AN81" s="60"/>
      <c r="AO81" s="60"/>
      <c r="AP81" s="60"/>
      <c r="AQ81" s="60"/>
      <c r="AR81" s="60"/>
      <c r="AS81" s="60"/>
      <c r="AT81" s="60"/>
      <c r="AU81" s="60"/>
      <c r="AV81" s="60"/>
    </row>
    <row r="82" ht="15.75" customHeight="1">
      <c r="A82" s="42" t="s">
        <v>295</v>
      </c>
      <c r="B82" s="42" t="s">
        <v>48</v>
      </c>
      <c r="C82" s="42" t="s">
        <v>338</v>
      </c>
      <c r="D82" s="42" t="s">
        <v>72</v>
      </c>
      <c r="E82" s="42" t="s">
        <v>339</v>
      </c>
      <c r="F82" s="149" t="s">
        <v>340</v>
      </c>
      <c r="G82" s="87">
        <v>6.39177137994E11</v>
      </c>
      <c r="H82" s="94" t="s">
        <v>83</v>
      </c>
      <c r="I82" s="55">
        <v>45809.0</v>
      </c>
      <c r="J82" s="55">
        <v>46174.0</v>
      </c>
      <c r="K82" s="255"/>
      <c r="L82" s="69"/>
      <c r="M82" s="69"/>
      <c r="N82" s="75" t="s">
        <v>338</v>
      </c>
      <c r="O82" s="76" t="s">
        <v>345</v>
      </c>
      <c r="P82" s="75" t="s">
        <v>338</v>
      </c>
      <c r="Q82" s="69"/>
      <c r="R82" s="69"/>
      <c r="S82" s="69"/>
      <c r="T82" s="69"/>
      <c r="U82" s="112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0"/>
      <c r="AN82" s="60"/>
      <c r="AO82" s="60"/>
      <c r="AP82" s="60"/>
      <c r="AQ82" s="60"/>
      <c r="AR82" s="60"/>
      <c r="AS82" s="60"/>
      <c r="AT82" s="60"/>
      <c r="AU82" s="60"/>
      <c r="AV82" s="60"/>
    </row>
    <row r="83" ht="15.75" customHeight="1">
      <c r="A83" s="42" t="s">
        <v>295</v>
      </c>
      <c r="B83" s="42" t="s">
        <v>48</v>
      </c>
      <c r="C83" s="42" t="s">
        <v>349</v>
      </c>
      <c r="D83" s="42" t="s">
        <v>72</v>
      </c>
      <c r="E83" s="42" t="s">
        <v>339</v>
      </c>
      <c r="F83" s="149" t="s">
        <v>340</v>
      </c>
      <c r="G83" s="87">
        <v>6.39177137994E11</v>
      </c>
      <c r="H83" s="94" t="s">
        <v>83</v>
      </c>
      <c r="I83" s="55">
        <v>45414.0</v>
      </c>
      <c r="J83" s="55">
        <v>45779.0</v>
      </c>
      <c r="K83" s="255"/>
      <c r="L83" s="69"/>
      <c r="M83" s="69"/>
      <c r="N83" s="75" t="s">
        <v>349</v>
      </c>
      <c r="O83" s="76" t="s">
        <v>350</v>
      </c>
      <c r="P83" s="75" t="s">
        <v>349</v>
      </c>
      <c r="Q83" s="69"/>
      <c r="R83" s="69"/>
      <c r="S83" s="69"/>
      <c r="T83" s="69"/>
      <c r="U83" s="112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0"/>
      <c r="AN83" s="60"/>
      <c r="AO83" s="60"/>
      <c r="AP83" s="60"/>
      <c r="AQ83" s="60"/>
      <c r="AR83" s="60"/>
      <c r="AS83" s="60"/>
      <c r="AT83" s="60"/>
      <c r="AU83" s="60"/>
      <c r="AV83" s="60"/>
    </row>
    <row r="84" ht="15.75" customHeight="1">
      <c r="A84" s="42" t="s">
        <v>295</v>
      </c>
      <c r="B84" s="42" t="s">
        <v>48</v>
      </c>
      <c r="C84" s="42" t="s">
        <v>352</v>
      </c>
      <c r="D84" s="42" t="s">
        <v>72</v>
      </c>
      <c r="E84" s="42" t="s">
        <v>339</v>
      </c>
      <c r="F84" s="149" t="s">
        <v>340</v>
      </c>
      <c r="G84" s="87">
        <v>6.39177137994E11</v>
      </c>
      <c r="H84" s="94" t="s">
        <v>83</v>
      </c>
      <c r="I84" s="55">
        <v>45414.0</v>
      </c>
      <c r="J84" s="55">
        <v>45779.0</v>
      </c>
      <c r="K84" s="255"/>
      <c r="L84" s="69"/>
      <c r="M84" s="69"/>
      <c r="N84" s="75" t="s">
        <v>352</v>
      </c>
      <c r="O84" s="76" t="s">
        <v>357</v>
      </c>
      <c r="P84" s="75" t="s">
        <v>352</v>
      </c>
      <c r="Q84" s="69"/>
      <c r="R84" s="69"/>
      <c r="S84" s="69"/>
      <c r="T84" s="69"/>
      <c r="U84" s="112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0"/>
      <c r="AN84" s="60"/>
      <c r="AO84" s="60"/>
      <c r="AP84" s="60"/>
      <c r="AQ84" s="60"/>
      <c r="AR84" s="60"/>
      <c r="AS84" s="60"/>
      <c r="AT84" s="60"/>
      <c r="AU84" s="60"/>
      <c r="AV84" s="60"/>
    </row>
    <row r="85" ht="15.0" customHeight="1">
      <c r="A85" s="42" t="s">
        <v>295</v>
      </c>
      <c r="B85" s="42" t="s">
        <v>48</v>
      </c>
      <c r="C85" s="42" t="s">
        <v>814</v>
      </c>
      <c r="D85" s="42" t="s">
        <v>87</v>
      </c>
      <c r="E85" s="42" t="s">
        <v>815</v>
      </c>
      <c r="F85" s="187"/>
      <c r="G85" s="44"/>
      <c r="H85" s="94" t="s">
        <v>58</v>
      </c>
      <c r="I85" s="258"/>
      <c r="J85" s="258"/>
      <c r="K85" s="262"/>
      <c r="L85" s="59"/>
      <c r="M85" s="59"/>
      <c r="N85" s="286" t="s">
        <v>814</v>
      </c>
      <c r="O85" s="88" t="s">
        <v>816</v>
      </c>
      <c r="P85" s="59"/>
      <c r="Q85" s="59"/>
      <c r="R85" s="59"/>
      <c r="S85" s="59"/>
      <c r="T85" s="69"/>
      <c r="U85" s="112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0"/>
      <c r="AN85" s="60"/>
      <c r="AO85" s="60"/>
      <c r="AP85" s="60"/>
      <c r="AQ85" s="60"/>
      <c r="AR85" s="60"/>
      <c r="AS85" s="60"/>
      <c r="AT85" s="60"/>
      <c r="AU85" s="60"/>
      <c r="AV85" s="60"/>
    </row>
    <row r="86" ht="15.75" customHeight="1">
      <c r="A86" s="42" t="s">
        <v>295</v>
      </c>
      <c r="B86" s="42" t="s">
        <v>48</v>
      </c>
      <c r="C86" s="42" t="s">
        <v>320</v>
      </c>
      <c r="D86" s="42" t="s">
        <v>72</v>
      </c>
      <c r="E86" s="42" t="s">
        <v>824</v>
      </c>
      <c r="F86" s="149" t="s">
        <v>324</v>
      </c>
      <c r="G86" s="87">
        <v>6.39173031696E11</v>
      </c>
      <c r="H86" s="94" t="s">
        <v>83</v>
      </c>
      <c r="I86" s="55">
        <v>45506.0</v>
      </c>
      <c r="J86" s="55">
        <v>45871.0</v>
      </c>
      <c r="K86" s="56"/>
      <c r="L86" s="69"/>
      <c r="M86" s="69"/>
      <c r="N86" s="75" t="s">
        <v>320</v>
      </c>
      <c r="O86" s="76" t="s">
        <v>326</v>
      </c>
      <c r="P86" s="75" t="s">
        <v>320</v>
      </c>
      <c r="Q86" s="69"/>
      <c r="R86" s="69"/>
      <c r="S86" s="69"/>
      <c r="T86" s="59"/>
      <c r="U86" s="116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60"/>
      <c r="AN86" s="60"/>
      <c r="AO86" s="60"/>
      <c r="AP86" s="60"/>
      <c r="AQ86" s="60"/>
      <c r="AR86" s="60"/>
      <c r="AS86" s="60"/>
      <c r="AT86" s="60"/>
      <c r="AU86" s="60"/>
      <c r="AV86" s="60"/>
    </row>
    <row r="87" ht="15.75" customHeight="1">
      <c r="A87" s="42" t="s">
        <v>295</v>
      </c>
      <c r="B87" s="42" t="s">
        <v>48</v>
      </c>
      <c r="C87" s="42" t="s">
        <v>328</v>
      </c>
      <c r="D87" s="42" t="s">
        <v>72</v>
      </c>
      <c r="E87" s="42" t="s">
        <v>824</v>
      </c>
      <c r="F87" s="149" t="s">
        <v>324</v>
      </c>
      <c r="G87" s="87">
        <v>6.39173031696E11</v>
      </c>
      <c r="H87" s="94" t="s">
        <v>83</v>
      </c>
      <c r="I87" s="55">
        <v>45506.0</v>
      </c>
      <c r="J87" s="55">
        <v>45871.0</v>
      </c>
      <c r="K87" s="56"/>
      <c r="L87" s="69"/>
      <c r="M87" s="69"/>
      <c r="N87" s="75" t="s">
        <v>328</v>
      </c>
      <c r="O87" s="76" t="s">
        <v>329</v>
      </c>
      <c r="P87" s="75" t="s">
        <v>328</v>
      </c>
      <c r="Q87" s="69"/>
      <c r="R87" s="69"/>
      <c r="S87" s="69"/>
      <c r="T87" s="103"/>
      <c r="U87" s="97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60"/>
      <c r="AN87" s="60"/>
      <c r="AO87" s="60"/>
      <c r="AP87" s="60"/>
      <c r="AQ87" s="60"/>
      <c r="AR87" s="60"/>
      <c r="AS87" s="60"/>
      <c r="AT87" s="60"/>
      <c r="AU87" s="60"/>
      <c r="AV87" s="60"/>
    </row>
    <row r="88" ht="15.75" customHeight="1">
      <c r="A88" s="273" t="s">
        <v>295</v>
      </c>
      <c r="B88" s="61" t="s">
        <v>422</v>
      </c>
      <c r="C88" s="316" t="s">
        <v>826</v>
      </c>
      <c r="D88" s="316"/>
      <c r="E88" s="316"/>
      <c r="F88" s="319"/>
      <c r="G88" s="320"/>
      <c r="H88" s="316"/>
      <c r="I88" s="323"/>
      <c r="J88" s="323"/>
      <c r="K88" s="324"/>
      <c r="L88" s="325"/>
      <c r="M88" s="325"/>
      <c r="N88" s="325"/>
      <c r="O88" s="325"/>
      <c r="P88" s="325"/>
      <c r="Q88" s="325"/>
      <c r="R88" s="325"/>
      <c r="S88" s="325"/>
      <c r="T88" s="324"/>
      <c r="U88" s="326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24"/>
      <c r="AH88" s="324"/>
      <c r="AI88" s="324"/>
      <c r="AJ88" s="324"/>
      <c r="AK88" s="324"/>
      <c r="AL88" s="324"/>
      <c r="AM88" s="60"/>
      <c r="AN88" s="60"/>
      <c r="AO88" s="60"/>
      <c r="AP88" s="60"/>
      <c r="AQ88" s="60"/>
      <c r="AR88" s="60"/>
      <c r="AS88" s="60"/>
      <c r="AT88" s="60"/>
      <c r="AU88" s="60"/>
      <c r="AV88" s="60"/>
    </row>
    <row r="89" ht="15.75" customHeight="1">
      <c r="A89" s="273" t="s">
        <v>295</v>
      </c>
      <c r="B89" s="273" t="s">
        <v>48</v>
      </c>
      <c r="C89" s="273" t="s">
        <v>332</v>
      </c>
      <c r="D89" s="273" t="s">
        <v>72</v>
      </c>
      <c r="E89" s="42" t="s">
        <v>333</v>
      </c>
      <c r="F89" s="52" t="s">
        <v>794</v>
      </c>
      <c r="G89" s="53">
        <v>6.39177018684E11</v>
      </c>
      <c r="H89" s="94" t="s">
        <v>83</v>
      </c>
      <c r="I89" s="330">
        <v>45769.0</v>
      </c>
      <c r="J89" s="330">
        <v>45869.0</v>
      </c>
      <c r="K89" s="331"/>
      <c r="L89" s="332"/>
      <c r="M89" s="332"/>
      <c r="N89" s="333" t="s">
        <v>332</v>
      </c>
      <c r="O89" s="333" t="s">
        <v>337</v>
      </c>
      <c r="P89" s="333" t="s">
        <v>332</v>
      </c>
      <c r="Q89" s="332"/>
      <c r="R89" s="332"/>
      <c r="S89" s="332"/>
      <c r="T89" s="60"/>
      <c r="U89" s="73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</row>
    <row r="90" ht="15.75" customHeight="1">
      <c r="A90" s="273" t="s">
        <v>44</v>
      </c>
      <c r="B90" s="273" t="s">
        <v>104</v>
      </c>
      <c r="C90" s="273" t="s">
        <v>103</v>
      </c>
      <c r="D90" s="273" t="s">
        <v>87</v>
      </c>
      <c r="E90" s="42" t="s">
        <v>106</v>
      </c>
      <c r="F90" s="52" t="s">
        <v>55</v>
      </c>
      <c r="G90" s="44"/>
      <c r="H90" s="94" t="s">
        <v>58</v>
      </c>
      <c r="I90" s="334">
        <v>45061.0</v>
      </c>
      <c r="J90" s="335" t="s">
        <v>221</v>
      </c>
      <c r="K90" s="336"/>
      <c r="L90" s="325"/>
      <c r="M90" s="325"/>
      <c r="N90" s="337" t="s">
        <v>103</v>
      </c>
      <c r="O90" s="338" t="s">
        <v>107</v>
      </c>
      <c r="P90" s="339"/>
      <c r="Q90" s="325"/>
      <c r="R90" s="325"/>
      <c r="S90" s="325"/>
      <c r="T90" s="325"/>
      <c r="U90" s="340"/>
      <c r="V90" s="325"/>
      <c r="W90" s="325"/>
      <c r="X90" s="325"/>
      <c r="Y90" s="325"/>
      <c r="Z90" s="325"/>
      <c r="AA90" s="325"/>
      <c r="AB90" s="325"/>
      <c r="AC90" s="325"/>
      <c r="AD90" s="325"/>
      <c r="AE90" s="325"/>
      <c r="AF90" s="325"/>
      <c r="AG90" s="325"/>
      <c r="AH90" s="325"/>
      <c r="AI90" s="325"/>
      <c r="AJ90" s="325"/>
      <c r="AK90" s="325"/>
      <c r="AL90" s="325"/>
      <c r="AM90" s="60"/>
      <c r="AN90" s="60"/>
      <c r="AO90" s="60"/>
      <c r="AP90" s="60"/>
      <c r="AQ90" s="60"/>
      <c r="AR90" s="60"/>
      <c r="AS90" s="60"/>
      <c r="AT90" s="60"/>
      <c r="AU90" s="60"/>
      <c r="AV90" s="60"/>
    </row>
    <row r="91" ht="15.75" customHeight="1">
      <c r="A91" s="273" t="s">
        <v>44</v>
      </c>
      <c r="B91" s="273" t="s">
        <v>48</v>
      </c>
      <c r="C91" s="273" t="s">
        <v>46</v>
      </c>
      <c r="D91" s="273" t="s">
        <v>51</v>
      </c>
      <c r="E91" s="42" t="s">
        <v>53</v>
      </c>
      <c r="F91" s="52" t="s">
        <v>55</v>
      </c>
      <c r="G91" s="44"/>
      <c r="H91" s="94" t="s">
        <v>58</v>
      </c>
      <c r="I91" s="334">
        <v>45184.0</v>
      </c>
      <c r="J91" s="335" t="s">
        <v>221</v>
      </c>
      <c r="K91" s="336"/>
      <c r="L91" s="325"/>
      <c r="M91" s="325"/>
      <c r="N91" s="337" t="s">
        <v>46</v>
      </c>
      <c r="O91" s="338" t="s">
        <v>81</v>
      </c>
      <c r="P91" s="337" t="s">
        <v>46</v>
      </c>
      <c r="Q91" s="325"/>
      <c r="R91" s="325"/>
      <c r="S91" s="325"/>
      <c r="T91" s="325"/>
      <c r="U91" s="340"/>
      <c r="V91" s="325"/>
      <c r="W91" s="325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  <c r="AH91" s="325"/>
      <c r="AI91" s="325"/>
      <c r="AJ91" s="325"/>
      <c r="AK91" s="325"/>
      <c r="AL91" s="325"/>
      <c r="AM91" s="60"/>
      <c r="AN91" s="60"/>
      <c r="AO91" s="60"/>
      <c r="AP91" s="60"/>
      <c r="AQ91" s="60"/>
      <c r="AR91" s="60"/>
      <c r="AS91" s="60"/>
      <c r="AT91" s="60"/>
      <c r="AU91" s="60"/>
      <c r="AV91" s="60"/>
    </row>
    <row r="92" ht="15.75" customHeight="1">
      <c r="A92" s="273" t="s">
        <v>44</v>
      </c>
      <c r="B92" s="273" t="s">
        <v>48</v>
      </c>
      <c r="C92" s="273" t="s">
        <v>86</v>
      </c>
      <c r="D92" s="273" t="s">
        <v>87</v>
      </c>
      <c r="E92" s="42" t="s">
        <v>88</v>
      </c>
      <c r="F92" s="52" t="s">
        <v>55</v>
      </c>
      <c r="G92" s="44"/>
      <c r="H92" s="94" t="s">
        <v>58</v>
      </c>
      <c r="I92" s="330">
        <v>45180.0</v>
      </c>
      <c r="J92" s="341" t="s">
        <v>221</v>
      </c>
      <c r="K92" s="342"/>
      <c r="L92" s="332"/>
      <c r="M92" s="332"/>
      <c r="N92" s="343" t="s">
        <v>86</v>
      </c>
      <c r="O92" s="344" t="s">
        <v>89</v>
      </c>
      <c r="P92" s="344" t="s">
        <v>86</v>
      </c>
      <c r="Q92" s="332"/>
      <c r="R92" s="332"/>
      <c r="S92" s="332"/>
      <c r="T92" s="332"/>
      <c r="U92" s="345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60"/>
      <c r="AN92" s="60"/>
      <c r="AO92" s="60"/>
      <c r="AP92" s="60"/>
      <c r="AQ92" s="60"/>
      <c r="AR92" s="60"/>
      <c r="AS92" s="60"/>
      <c r="AT92" s="60"/>
      <c r="AU92" s="60"/>
      <c r="AV92" s="60"/>
    </row>
    <row r="93" ht="15.75" customHeight="1">
      <c r="A93" s="273" t="s">
        <v>44</v>
      </c>
      <c r="B93" s="273" t="s">
        <v>48</v>
      </c>
      <c r="C93" s="273" t="s">
        <v>93</v>
      </c>
      <c r="D93" s="273" t="s">
        <v>94</v>
      </c>
      <c r="E93" s="42" t="s">
        <v>95</v>
      </c>
      <c r="F93" s="52" t="s">
        <v>55</v>
      </c>
      <c r="G93" s="44"/>
      <c r="H93" s="94" t="s">
        <v>58</v>
      </c>
      <c r="I93" s="334">
        <v>45180.0</v>
      </c>
      <c r="J93" s="335" t="s">
        <v>221</v>
      </c>
      <c r="K93" s="336"/>
      <c r="L93" s="325"/>
      <c r="M93" s="325"/>
      <c r="N93" s="339"/>
      <c r="O93" s="325"/>
      <c r="P93" s="325"/>
      <c r="Q93" s="325"/>
      <c r="R93" s="325"/>
      <c r="S93" s="325"/>
      <c r="T93" s="325"/>
      <c r="U93" s="340"/>
      <c r="V93" s="325"/>
      <c r="W93" s="325"/>
      <c r="X93" s="325"/>
      <c r="Y93" s="325"/>
      <c r="Z93" s="325"/>
      <c r="AA93" s="325"/>
      <c r="AB93" s="325"/>
      <c r="AC93" s="325"/>
      <c r="AD93" s="325"/>
      <c r="AE93" s="325"/>
      <c r="AF93" s="325"/>
      <c r="AG93" s="325"/>
      <c r="AH93" s="325"/>
      <c r="AI93" s="325"/>
      <c r="AJ93" s="325"/>
      <c r="AK93" s="325"/>
      <c r="AL93" s="325"/>
      <c r="AM93" s="60"/>
      <c r="AN93" s="60"/>
      <c r="AO93" s="60"/>
      <c r="AP93" s="60"/>
      <c r="AQ93" s="60"/>
      <c r="AR93" s="60"/>
      <c r="AS93" s="60"/>
      <c r="AT93" s="60"/>
      <c r="AU93" s="60"/>
      <c r="AV93" s="60"/>
    </row>
    <row r="94" ht="15.75" customHeight="1">
      <c r="A94" s="273" t="s">
        <v>44</v>
      </c>
      <c r="B94" s="273" t="s">
        <v>48</v>
      </c>
      <c r="C94" s="273" t="s">
        <v>97</v>
      </c>
      <c r="D94" s="273" t="s">
        <v>87</v>
      </c>
      <c r="E94" s="42" t="s">
        <v>98</v>
      </c>
      <c r="F94" s="52" t="s">
        <v>55</v>
      </c>
      <c r="G94" s="44"/>
      <c r="H94" s="94" t="s">
        <v>58</v>
      </c>
      <c r="I94" s="346">
        <v>45458.0</v>
      </c>
      <c r="J94" s="346">
        <v>46188.0</v>
      </c>
      <c r="K94" s="347"/>
      <c r="L94" s="332"/>
      <c r="M94" s="332"/>
      <c r="N94" s="333" t="s">
        <v>97</v>
      </c>
      <c r="O94" s="344" t="s">
        <v>99</v>
      </c>
      <c r="P94" s="333" t="s">
        <v>97</v>
      </c>
      <c r="Q94" s="332"/>
      <c r="R94" s="332"/>
      <c r="S94" s="332"/>
      <c r="T94" s="332"/>
      <c r="U94" s="345"/>
      <c r="V94" s="332"/>
      <c r="W94" s="332"/>
      <c r="X94" s="332"/>
      <c r="Y94" s="332"/>
      <c r="Z94" s="332"/>
      <c r="AA94" s="332"/>
      <c r="AB94" s="332"/>
      <c r="AC94" s="332"/>
      <c r="AD94" s="332"/>
      <c r="AE94" s="332"/>
      <c r="AF94" s="332"/>
      <c r="AG94" s="332"/>
      <c r="AH94" s="332"/>
      <c r="AI94" s="332"/>
      <c r="AJ94" s="332"/>
      <c r="AK94" s="332"/>
      <c r="AL94" s="332"/>
      <c r="AM94" s="60"/>
      <c r="AN94" s="60"/>
      <c r="AO94" s="60"/>
      <c r="AP94" s="60"/>
      <c r="AQ94" s="60"/>
      <c r="AR94" s="60"/>
      <c r="AS94" s="60"/>
      <c r="AT94" s="60"/>
      <c r="AU94" s="60"/>
      <c r="AV94" s="60"/>
    </row>
    <row r="95" ht="15.75" customHeight="1">
      <c r="A95" s="273" t="s">
        <v>44</v>
      </c>
      <c r="B95" s="61" t="s">
        <v>48</v>
      </c>
      <c r="C95" s="61" t="s">
        <v>109</v>
      </c>
      <c r="D95" s="61" t="s">
        <v>51</v>
      </c>
      <c r="E95" s="287" t="s">
        <v>112</v>
      </c>
      <c r="F95" s="348" t="s">
        <v>113</v>
      </c>
      <c r="G95" s="349"/>
      <c r="H95" s="290" t="s">
        <v>83</v>
      </c>
      <c r="I95" s="350">
        <v>45717.0</v>
      </c>
      <c r="J95" s="350">
        <v>46082.0</v>
      </c>
      <c r="K95" s="351"/>
      <c r="L95" s="325"/>
      <c r="M95" s="325"/>
      <c r="N95" s="337" t="s">
        <v>109</v>
      </c>
      <c r="O95" s="338" t="s">
        <v>115</v>
      </c>
      <c r="P95" s="338" t="s">
        <v>109</v>
      </c>
      <c r="Q95" s="325"/>
      <c r="R95" s="325"/>
      <c r="S95" s="325"/>
      <c r="T95" s="324"/>
      <c r="U95" s="326"/>
      <c r="V95" s="324"/>
      <c r="W95" s="324"/>
      <c r="X95" s="324"/>
      <c r="Y95" s="324"/>
      <c r="Z95" s="324"/>
      <c r="AA95" s="324"/>
      <c r="AB95" s="324"/>
      <c r="AC95" s="324"/>
      <c r="AD95" s="324"/>
      <c r="AE95" s="324"/>
      <c r="AF95" s="324"/>
      <c r="AG95" s="324"/>
      <c r="AH95" s="324"/>
      <c r="AI95" s="324"/>
      <c r="AJ95" s="324"/>
      <c r="AK95" s="324"/>
      <c r="AL95" s="324"/>
      <c r="AM95" s="60"/>
      <c r="AN95" s="60"/>
      <c r="AO95" s="60"/>
      <c r="AP95" s="60"/>
      <c r="AQ95" s="60"/>
      <c r="AR95" s="60"/>
      <c r="AS95" s="60"/>
      <c r="AT95" s="60"/>
      <c r="AU95" s="60"/>
      <c r="AV95" s="60"/>
    </row>
    <row r="96" ht="15.75" customHeight="1">
      <c r="A96" s="273" t="s">
        <v>118</v>
      </c>
      <c r="B96" s="273" t="s">
        <v>48</v>
      </c>
      <c r="C96" s="273" t="s">
        <v>126</v>
      </c>
      <c r="D96" s="273" t="s">
        <v>87</v>
      </c>
      <c r="E96" s="42" t="s">
        <v>827</v>
      </c>
      <c r="F96" s="187" t="s">
        <v>55</v>
      </c>
      <c r="G96" s="44"/>
      <c r="H96" s="94" t="s">
        <v>58</v>
      </c>
      <c r="I96" s="330">
        <v>45245.0</v>
      </c>
      <c r="J96" s="341" t="s">
        <v>221</v>
      </c>
      <c r="K96" s="342"/>
      <c r="L96" s="332"/>
      <c r="M96" s="332"/>
      <c r="N96" s="344" t="s">
        <v>126</v>
      </c>
      <c r="O96" s="344" t="s">
        <v>128</v>
      </c>
      <c r="P96" s="333" t="s">
        <v>126</v>
      </c>
      <c r="Q96" s="332"/>
      <c r="R96" s="332"/>
      <c r="S96" s="332"/>
      <c r="T96" s="332"/>
      <c r="U96" s="345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2"/>
      <c r="AK96" s="332"/>
      <c r="AL96" s="332"/>
      <c r="AM96" s="60"/>
      <c r="AN96" s="60"/>
      <c r="AO96" s="60"/>
      <c r="AP96" s="60"/>
      <c r="AQ96" s="60"/>
      <c r="AR96" s="60"/>
      <c r="AS96" s="60"/>
      <c r="AT96" s="60"/>
      <c r="AU96" s="60"/>
      <c r="AV96" s="60"/>
    </row>
    <row r="97" ht="15.75" customHeight="1">
      <c r="A97" s="273" t="s">
        <v>118</v>
      </c>
      <c r="B97" s="273" t="s">
        <v>48</v>
      </c>
      <c r="C97" s="273" t="s">
        <v>129</v>
      </c>
      <c r="D97" s="273" t="s">
        <v>87</v>
      </c>
      <c r="E97" s="42" t="s">
        <v>130</v>
      </c>
      <c r="F97" s="187" t="s">
        <v>131</v>
      </c>
      <c r="G97" s="44"/>
      <c r="H97" s="94" t="s">
        <v>58</v>
      </c>
      <c r="I97" s="334">
        <v>45180.0</v>
      </c>
      <c r="J97" s="335" t="s">
        <v>221</v>
      </c>
      <c r="K97" s="336"/>
      <c r="L97" s="325"/>
      <c r="M97" s="325"/>
      <c r="N97" s="337" t="s">
        <v>129</v>
      </c>
      <c r="O97" s="338" t="s">
        <v>132</v>
      </c>
      <c r="P97" s="339"/>
      <c r="Q97" s="325"/>
      <c r="R97" s="325"/>
      <c r="S97" s="325"/>
      <c r="T97" s="325"/>
      <c r="U97" s="340"/>
      <c r="V97" s="325"/>
      <c r="W97" s="325"/>
      <c r="X97" s="325"/>
      <c r="Y97" s="325"/>
      <c r="Z97" s="325"/>
      <c r="AA97" s="325"/>
      <c r="AB97" s="325"/>
      <c r="AC97" s="325"/>
      <c r="AD97" s="325"/>
      <c r="AE97" s="325"/>
      <c r="AF97" s="325"/>
      <c r="AG97" s="325"/>
      <c r="AH97" s="325"/>
      <c r="AI97" s="325"/>
      <c r="AJ97" s="325"/>
      <c r="AK97" s="325"/>
      <c r="AL97" s="325"/>
      <c r="AM97" s="60"/>
      <c r="AN97" s="60"/>
      <c r="AO97" s="60"/>
      <c r="AP97" s="60"/>
      <c r="AQ97" s="60"/>
      <c r="AR97" s="60"/>
      <c r="AS97" s="60"/>
      <c r="AT97" s="60"/>
      <c r="AU97" s="60"/>
      <c r="AV97" s="60"/>
    </row>
    <row r="98" ht="15.75" customHeight="1">
      <c r="A98" s="273" t="s">
        <v>118</v>
      </c>
      <c r="B98" s="273" t="s">
        <v>137</v>
      </c>
      <c r="C98" s="273" t="s">
        <v>136</v>
      </c>
      <c r="D98" s="273" t="s">
        <v>87</v>
      </c>
      <c r="E98" s="42" t="s">
        <v>138</v>
      </c>
      <c r="F98" s="52" t="s">
        <v>139</v>
      </c>
      <c r="G98" s="87">
        <v>6.39171273533E11</v>
      </c>
      <c r="H98" s="94" t="s">
        <v>83</v>
      </c>
      <c r="I98" s="330">
        <v>45826.0</v>
      </c>
      <c r="J98" s="330">
        <v>46191.0</v>
      </c>
      <c r="K98" s="331"/>
      <c r="L98" s="333" t="s">
        <v>141</v>
      </c>
      <c r="M98" s="332"/>
      <c r="N98" s="333" t="s">
        <v>136</v>
      </c>
      <c r="O98" s="344" t="s">
        <v>143</v>
      </c>
      <c r="P98" s="344" t="s">
        <v>136</v>
      </c>
      <c r="Q98" s="332"/>
      <c r="R98" s="332"/>
      <c r="S98" s="332"/>
      <c r="T98" s="325"/>
      <c r="U98" s="340"/>
      <c r="V98" s="325"/>
      <c r="W98" s="325"/>
      <c r="X98" s="325"/>
      <c r="Y98" s="325"/>
      <c r="Z98" s="325"/>
      <c r="AA98" s="325"/>
      <c r="AB98" s="325"/>
      <c r="AC98" s="325"/>
      <c r="AD98" s="325"/>
      <c r="AE98" s="325"/>
      <c r="AF98" s="325"/>
      <c r="AG98" s="325"/>
      <c r="AH98" s="325"/>
      <c r="AI98" s="325"/>
      <c r="AJ98" s="325"/>
      <c r="AK98" s="325"/>
      <c r="AL98" s="325"/>
      <c r="AM98" s="60"/>
      <c r="AN98" s="60"/>
      <c r="AO98" s="60"/>
      <c r="AP98" s="60"/>
      <c r="AQ98" s="60"/>
      <c r="AR98" s="60"/>
      <c r="AS98" s="60"/>
      <c r="AT98" s="60"/>
      <c r="AU98" s="60"/>
      <c r="AV98" s="60"/>
    </row>
    <row r="99" ht="15.75" customHeight="1">
      <c r="A99" s="273" t="s">
        <v>118</v>
      </c>
      <c r="B99" s="273" t="s">
        <v>48</v>
      </c>
      <c r="C99" s="273" t="s">
        <v>119</v>
      </c>
      <c r="D99" s="273" t="s">
        <v>87</v>
      </c>
      <c r="E99" s="42" t="s">
        <v>121</v>
      </c>
      <c r="F99" s="52" t="s">
        <v>122</v>
      </c>
      <c r="G99" s="53"/>
      <c r="H99" s="94" t="s">
        <v>83</v>
      </c>
      <c r="I99" s="330">
        <v>45506.0</v>
      </c>
      <c r="J99" s="330">
        <v>45871.0</v>
      </c>
      <c r="K99" s="331"/>
      <c r="L99" s="333" t="s">
        <v>123</v>
      </c>
      <c r="M99" s="332"/>
      <c r="N99" s="333" t="s">
        <v>119</v>
      </c>
      <c r="O99" s="344" t="s">
        <v>124</v>
      </c>
      <c r="P99" s="333" t="s">
        <v>119</v>
      </c>
      <c r="Q99" s="332"/>
      <c r="R99" s="332"/>
      <c r="S99" s="332"/>
      <c r="T99" s="60"/>
      <c r="U99" s="73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</row>
    <row r="100" ht="15.75" customHeight="1">
      <c r="A100" s="273" t="s">
        <v>368</v>
      </c>
      <c r="B100" s="273" t="s">
        <v>48</v>
      </c>
      <c r="C100" s="273" t="s">
        <v>369</v>
      </c>
      <c r="D100" s="273" t="s">
        <v>72</v>
      </c>
      <c r="E100" s="42" t="s">
        <v>371</v>
      </c>
      <c r="F100" s="187" t="s">
        <v>372</v>
      </c>
      <c r="G100" s="44"/>
      <c r="H100" s="94" t="s">
        <v>83</v>
      </c>
      <c r="I100" s="334">
        <v>45748.0</v>
      </c>
      <c r="J100" s="334">
        <v>45930.0</v>
      </c>
      <c r="K100" s="351"/>
      <c r="L100" s="325"/>
      <c r="M100" s="325"/>
      <c r="N100" s="337" t="s">
        <v>369</v>
      </c>
      <c r="O100" s="337" t="s">
        <v>375</v>
      </c>
      <c r="P100" s="337" t="s">
        <v>369</v>
      </c>
      <c r="Q100" s="325"/>
      <c r="R100" s="325"/>
      <c r="S100" s="325"/>
      <c r="T100" s="325"/>
      <c r="U100" s="340"/>
      <c r="V100" s="325"/>
      <c r="W100" s="325"/>
      <c r="X100" s="325"/>
      <c r="Y100" s="325"/>
      <c r="Z100" s="325"/>
      <c r="AA100" s="325"/>
      <c r="AB100" s="325"/>
      <c r="AC100" s="325"/>
      <c r="AD100" s="325"/>
      <c r="AE100" s="325"/>
      <c r="AF100" s="325"/>
      <c r="AG100" s="325"/>
      <c r="AH100" s="325"/>
      <c r="AI100" s="325"/>
      <c r="AJ100" s="325"/>
      <c r="AK100" s="325"/>
      <c r="AL100" s="325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</row>
    <row r="101" ht="15.75" customHeight="1">
      <c r="A101" s="273" t="s">
        <v>828</v>
      </c>
      <c r="B101" s="273" t="s">
        <v>48</v>
      </c>
      <c r="C101" s="273" t="s">
        <v>596</v>
      </c>
      <c r="D101" s="273" t="s">
        <v>72</v>
      </c>
      <c r="E101" s="42" t="s">
        <v>597</v>
      </c>
      <c r="F101" s="187" t="s">
        <v>598</v>
      </c>
      <c r="G101" s="87">
        <v>6.39188880111E11</v>
      </c>
      <c r="H101" s="94" t="s">
        <v>58</v>
      </c>
      <c r="I101" s="346"/>
      <c r="J101" s="346"/>
      <c r="K101" s="351"/>
      <c r="L101" s="332"/>
      <c r="M101" s="332"/>
      <c r="N101" s="358" t="s">
        <v>596</v>
      </c>
      <c r="O101" s="344" t="s">
        <v>601</v>
      </c>
      <c r="P101" s="344" t="s">
        <v>596</v>
      </c>
      <c r="Q101" s="332"/>
      <c r="R101" s="332"/>
      <c r="S101" s="332"/>
      <c r="T101" s="332"/>
      <c r="U101" s="345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</row>
    <row r="102" ht="15.75" customHeight="1">
      <c r="A102" s="273" t="s">
        <v>828</v>
      </c>
      <c r="B102" s="273" t="s">
        <v>48</v>
      </c>
      <c r="C102" s="273" t="s">
        <v>602</v>
      </c>
      <c r="D102" s="273" t="s">
        <v>72</v>
      </c>
      <c r="E102" s="42" t="s">
        <v>597</v>
      </c>
      <c r="F102" s="187" t="s">
        <v>598</v>
      </c>
      <c r="G102" s="44"/>
      <c r="H102" s="94" t="s">
        <v>58</v>
      </c>
      <c r="I102" s="323"/>
      <c r="J102" s="323"/>
      <c r="K102" s="324"/>
      <c r="L102" s="325"/>
      <c r="M102" s="325"/>
      <c r="N102" s="343" t="s">
        <v>602</v>
      </c>
      <c r="O102" s="338" t="s">
        <v>603</v>
      </c>
      <c r="P102" s="338" t="s">
        <v>602</v>
      </c>
      <c r="Q102" s="325"/>
      <c r="R102" s="325"/>
      <c r="S102" s="325"/>
      <c r="T102" s="325"/>
      <c r="U102" s="340"/>
      <c r="V102" s="325"/>
      <c r="W102" s="325"/>
      <c r="X102" s="325"/>
      <c r="Y102" s="325"/>
      <c r="Z102" s="325"/>
      <c r="AA102" s="325"/>
      <c r="AB102" s="325"/>
      <c r="AC102" s="325"/>
      <c r="AD102" s="325"/>
      <c r="AE102" s="325"/>
      <c r="AF102" s="325"/>
      <c r="AG102" s="325"/>
      <c r="AH102" s="325"/>
      <c r="AI102" s="325"/>
      <c r="AJ102" s="325"/>
      <c r="AK102" s="325"/>
      <c r="AL102" s="325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</row>
    <row r="103" ht="15.75" customHeight="1">
      <c r="A103" s="273" t="s">
        <v>574</v>
      </c>
      <c r="B103" s="273" t="s">
        <v>422</v>
      </c>
      <c r="C103" s="273" t="s">
        <v>829</v>
      </c>
      <c r="D103" s="273"/>
      <c r="E103" s="42"/>
      <c r="F103" s="187"/>
      <c r="G103" s="44"/>
      <c r="H103" s="94"/>
      <c r="I103" s="323"/>
      <c r="J103" s="323"/>
      <c r="K103" s="324"/>
      <c r="L103" s="325"/>
      <c r="M103" s="325"/>
      <c r="N103" s="325"/>
      <c r="O103" s="325"/>
      <c r="P103" s="325"/>
      <c r="Q103" s="325"/>
      <c r="R103" s="325"/>
      <c r="S103" s="325"/>
      <c r="T103" s="325"/>
      <c r="U103" s="340"/>
      <c r="V103" s="325"/>
      <c r="W103" s="325"/>
      <c r="X103" s="325"/>
      <c r="Y103" s="325"/>
      <c r="Z103" s="325"/>
      <c r="AA103" s="325"/>
      <c r="AB103" s="325"/>
      <c r="AC103" s="325"/>
      <c r="AD103" s="325"/>
      <c r="AE103" s="325"/>
      <c r="AF103" s="325"/>
      <c r="AG103" s="325"/>
      <c r="AH103" s="325"/>
      <c r="AI103" s="325"/>
      <c r="AJ103" s="325"/>
      <c r="AK103" s="325"/>
      <c r="AL103" s="325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</row>
    <row r="104">
      <c r="A104" s="273" t="s">
        <v>574</v>
      </c>
      <c r="B104" s="273" t="s">
        <v>48</v>
      </c>
      <c r="C104" s="273" t="s">
        <v>581</v>
      </c>
      <c r="D104" s="273" t="s">
        <v>51</v>
      </c>
      <c r="E104" s="42" t="s">
        <v>582</v>
      </c>
      <c r="F104" s="52" t="s">
        <v>583</v>
      </c>
      <c r="G104" s="53">
        <v>6.39199922476E11</v>
      </c>
      <c r="H104" s="94" t="s">
        <v>83</v>
      </c>
      <c r="I104" s="330">
        <v>45553.0</v>
      </c>
      <c r="J104" s="330">
        <v>45918.0</v>
      </c>
      <c r="K104" s="331"/>
      <c r="L104" s="333" t="s">
        <v>830</v>
      </c>
      <c r="M104" s="332"/>
      <c r="N104" s="333" t="s">
        <v>581</v>
      </c>
      <c r="O104" s="333" t="s">
        <v>586</v>
      </c>
      <c r="P104" s="332"/>
      <c r="Q104" s="332"/>
      <c r="R104" s="332"/>
      <c r="S104" s="332"/>
      <c r="T104" s="332"/>
      <c r="U104" s="345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</row>
    <row r="105" ht="15.75" customHeight="1">
      <c r="A105" s="273" t="s">
        <v>574</v>
      </c>
      <c r="B105" s="273" t="s">
        <v>422</v>
      </c>
      <c r="C105" s="359" t="s">
        <v>819</v>
      </c>
      <c r="D105" s="359"/>
      <c r="E105" s="45"/>
      <c r="F105" s="187"/>
      <c r="G105" s="53"/>
      <c r="H105" s="45"/>
      <c r="I105" s="323"/>
      <c r="J105" s="323"/>
      <c r="K105" s="324"/>
      <c r="L105" s="325"/>
      <c r="M105" s="325"/>
      <c r="N105" s="338" t="s">
        <v>819</v>
      </c>
      <c r="O105" s="337" t="s">
        <v>820</v>
      </c>
      <c r="P105" s="325"/>
      <c r="Q105" s="325"/>
      <c r="R105" s="325"/>
      <c r="S105" s="325"/>
      <c r="T105" s="325"/>
      <c r="U105" s="340"/>
      <c r="V105" s="325"/>
      <c r="W105" s="325"/>
      <c r="X105" s="325"/>
      <c r="Y105" s="325"/>
      <c r="Z105" s="325"/>
      <c r="AA105" s="325"/>
      <c r="AB105" s="325"/>
      <c r="AC105" s="325"/>
      <c r="AD105" s="325"/>
      <c r="AE105" s="325"/>
      <c r="AF105" s="325"/>
      <c r="AG105" s="325"/>
      <c r="AH105" s="325"/>
      <c r="AI105" s="325"/>
      <c r="AJ105" s="325"/>
      <c r="AK105" s="325"/>
      <c r="AL105" s="325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</row>
    <row r="106" ht="15.75" customHeight="1">
      <c r="A106" s="273" t="s">
        <v>574</v>
      </c>
      <c r="B106" s="273" t="s">
        <v>48</v>
      </c>
      <c r="C106" s="273" t="s">
        <v>575</v>
      </c>
      <c r="D106" s="273" t="s">
        <v>51</v>
      </c>
      <c r="E106" s="42" t="s">
        <v>155</v>
      </c>
      <c r="F106" s="149" t="s">
        <v>156</v>
      </c>
      <c r="G106" s="87">
        <v>6.39354895373E11</v>
      </c>
      <c r="H106" s="94" t="s">
        <v>83</v>
      </c>
      <c r="I106" s="330">
        <v>45635.0</v>
      </c>
      <c r="J106" s="330">
        <v>46000.0</v>
      </c>
      <c r="K106" s="331"/>
      <c r="L106" s="332"/>
      <c r="M106" s="332"/>
      <c r="N106" s="333" t="s">
        <v>575</v>
      </c>
      <c r="O106" s="333" t="s">
        <v>577</v>
      </c>
      <c r="P106" s="332"/>
      <c r="Q106" s="332"/>
      <c r="R106" s="332"/>
      <c r="S106" s="332"/>
      <c r="T106" s="332"/>
      <c r="U106" s="345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</row>
    <row r="107" ht="15.75" customHeight="1">
      <c r="A107" s="273" t="s">
        <v>574</v>
      </c>
      <c r="B107" s="273" t="s">
        <v>48</v>
      </c>
      <c r="C107" s="273" t="s">
        <v>579</v>
      </c>
      <c r="D107" s="273" t="s">
        <v>51</v>
      </c>
      <c r="E107" s="42" t="s">
        <v>155</v>
      </c>
      <c r="F107" s="149" t="s">
        <v>156</v>
      </c>
      <c r="G107" s="87">
        <v>6.39354895373E11</v>
      </c>
      <c r="H107" s="94" t="s">
        <v>83</v>
      </c>
      <c r="I107" s="334">
        <v>45635.0</v>
      </c>
      <c r="J107" s="334">
        <v>46000.0</v>
      </c>
      <c r="K107" s="351"/>
      <c r="L107" s="325"/>
      <c r="M107" s="325"/>
      <c r="N107" s="337" t="s">
        <v>579</v>
      </c>
      <c r="O107" s="337" t="s">
        <v>580</v>
      </c>
      <c r="P107" s="325"/>
      <c r="Q107" s="325"/>
      <c r="R107" s="325"/>
      <c r="S107" s="325"/>
      <c r="T107" s="325"/>
      <c r="U107" s="340"/>
      <c r="V107" s="325"/>
      <c r="W107" s="325"/>
      <c r="X107" s="325"/>
      <c r="Y107" s="325"/>
      <c r="Z107" s="325"/>
      <c r="AA107" s="325"/>
      <c r="AB107" s="325"/>
      <c r="AC107" s="325"/>
      <c r="AD107" s="325"/>
      <c r="AE107" s="325"/>
      <c r="AF107" s="325"/>
      <c r="AG107" s="325"/>
      <c r="AH107" s="325"/>
      <c r="AI107" s="325"/>
      <c r="AJ107" s="325"/>
      <c r="AK107" s="325"/>
      <c r="AL107" s="325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</row>
    <row r="108" ht="15.75" customHeight="1">
      <c r="A108" s="273" t="s">
        <v>574</v>
      </c>
      <c r="B108" s="273" t="s">
        <v>48</v>
      </c>
      <c r="C108" s="273" t="s">
        <v>588</v>
      </c>
      <c r="D108" s="273" t="s">
        <v>51</v>
      </c>
      <c r="E108" s="42" t="s">
        <v>589</v>
      </c>
      <c r="F108" s="52" t="s">
        <v>590</v>
      </c>
      <c r="G108" s="53">
        <v>6.39189850231E11</v>
      </c>
      <c r="H108" s="94" t="s">
        <v>83</v>
      </c>
      <c r="I108" s="330">
        <v>45661.0</v>
      </c>
      <c r="J108" s="330">
        <v>46026.0</v>
      </c>
      <c r="K108" s="331"/>
      <c r="L108" s="333" t="s">
        <v>592</v>
      </c>
      <c r="M108" s="332"/>
      <c r="N108" s="333" t="s">
        <v>588</v>
      </c>
      <c r="O108" s="333" t="s">
        <v>593</v>
      </c>
      <c r="P108" s="332"/>
      <c r="Q108" s="332"/>
      <c r="R108" s="332"/>
      <c r="S108" s="332"/>
      <c r="T108" s="332"/>
      <c r="U108" s="345"/>
      <c r="V108" s="332"/>
      <c r="W108" s="332"/>
      <c r="X108" s="332"/>
      <c r="Y108" s="332"/>
      <c r="Z108" s="332"/>
      <c r="AA108" s="332"/>
      <c r="AB108" s="332"/>
      <c r="AC108" s="332"/>
      <c r="AD108" s="332"/>
      <c r="AE108" s="332"/>
      <c r="AF108" s="332"/>
      <c r="AG108" s="332"/>
      <c r="AH108" s="332"/>
      <c r="AI108" s="332"/>
      <c r="AJ108" s="332"/>
      <c r="AK108" s="332"/>
      <c r="AL108" s="332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</row>
    <row r="109" ht="15.75" customHeight="1">
      <c r="A109" s="273" t="s">
        <v>624</v>
      </c>
      <c r="B109" s="273" t="s">
        <v>48</v>
      </c>
      <c r="C109" s="273" t="s">
        <v>657</v>
      </c>
      <c r="D109" s="273" t="s">
        <v>72</v>
      </c>
      <c r="E109" s="42" t="s">
        <v>658</v>
      </c>
      <c r="F109" s="52" t="s">
        <v>659</v>
      </c>
      <c r="G109" s="53"/>
      <c r="H109" s="94" t="s">
        <v>83</v>
      </c>
      <c r="I109" s="334">
        <v>45502.0</v>
      </c>
      <c r="J109" s="334">
        <v>45867.0</v>
      </c>
      <c r="K109" s="351"/>
      <c r="L109" s="60"/>
      <c r="M109" s="325"/>
      <c r="N109" s="333" t="s">
        <v>657</v>
      </c>
      <c r="O109" s="360" t="s">
        <v>661</v>
      </c>
      <c r="P109" s="325"/>
      <c r="Q109" s="325"/>
      <c r="R109" s="325"/>
      <c r="S109" s="325"/>
      <c r="T109" s="325"/>
      <c r="U109" s="340"/>
      <c r="V109" s="325"/>
      <c r="W109" s="325"/>
      <c r="X109" s="325"/>
      <c r="Y109" s="325"/>
      <c r="Z109" s="325"/>
      <c r="AA109" s="325"/>
      <c r="AB109" s="325"/>
      <c r="AC109" s="325"/>
      <c r="AD109" s="325"/>
      <c r="AE109" s="325"/>
      <c r="AF109" s="325"/>
      <c r="AG109" s="325"/>
      <c r="AH109" s="325"/>
      <c r="AI109" s="325"/>
      <c r="AJ109" s="325"/>
      <c r="AK109" s="325"/>
      <c r="AL109" s="325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</row>
    <row r="110" ht="15.75" customHeight="1">
      <c r="A110" s="273" t="s">
        <v>624</v>
      </c>
      <c r="B110" s="273" t="s">
        <v>48</v>
      </c>
      <c r="C110" s="273" t="s">
        <v>630</v>
      </c>
      <c r="D110" s="273" t="s">
        <v>72</v>
      </c>
      <c r="E110" s="42" t="s">
        <v>631</v>
      </c>
      <c r="F110" s="52" t="s">
        <v>632</v>
      </c>
      <c r="G110" s="53">
        <v>6.39177991118E11</v>
      </c>
      <c r="H110" s="94" t="s">
        <v>83</v>
      </c>
      <c r="I110" s="330">
        <v>45505.0</v>
      </c>
      <c r="J110" s="330">
        <v>45870.0</v>
      </c>
      <c r="K110" s="331"/>
      <c r="L110" s="337" t="s">
        <v>634</v>
      </c>
      <c r="M110" s="332"/>
      <c r="N110" s="337" t="s">
        <v>630</v>
      </c>
      <c r="O110" s="338" t="s">
        <v>635</v>
      </c>
      <c r="P110" s="332"/>
      <c r="Q110" s="332"/>
      <c r="R110" s="332"/>
      <c r="S110" s="332"/>
      <c r="T110" s="361"/>
      <c r="U110" s="362"/>
      <c r="V110" s="361"/>
      <c r="W110" s="361"/>
      <c r="X110" s="361"/>
      <c r="Y110" s="361"/>
      <c r="Z110" s="361"/>
      <c r="AA110" s="361"/>
      <c r="AB110" s="361"/>
      <c r="AC110" s="361"/>
      <c r="AD110" s="361"/>
      <c r="AE110" s="361"/>
      <c r="AF110" s="361"/>
      <c r="AG110" s="361"/>
      <c r="AH110" s="361"/>
      <c r="AI110" s="361"/>
      <c r="AJ110" s="361"/>
      <c r="AK110" s="361"/>
      <c r="AL110" s="361"/>
      <c r="AM110" s="273"/>
      <c r="AN110" s="273"/>
      <c r="AO110" s="273"/>
      <c r="AP110" s="273"/>
      <c r="AQ110" s="273"/>
      <c r="AR110" s="273"/>
      <c r="AS110" s="273"/>
      <c r="AT110" s="273"/>
      <c r="AU110" s="273"/>
      <c r="AV110" s="273"/>
    </row>
    <row r="111" ht="15.75" customHeight="1">
      <c r="A111" s="273" t="s">
        <v>624</v>
      </c>
      <c r="B111" s="273" t="s">
        <v>48</v>
      </c>
      <c r="C111" s="273" t="s">
        <v>651</v>
      </c>
      <c r="D111" s="273" t="s">
        <v>72</v>
      </c>
      <c r="E111" s="42" t="s">
        <v>652</v>
      </c>
      <c r="F111" s="52" t="s">
        <v>653</v>
      </c>
      <c r="G111" s="53">
        <v>6.39171298536E11</v>
      </c>
      <c r="H111" s="94" t="s">
        <v>83</v>
      </c>
      <c r="I111" s="334">
        <v>45809.0</v>
      </c>
      <c r="J111" s="334">
        <v>45870.0</v>
      </c>
      <c r="K111" s="331"/>
      <c r="L111" s="333" t="s">
        <v>655</v>
      </c>
      <c r="M111" s="325"/>
      <c r="N111" s="333" t="s">
        <v>651</v>
      </c>
      <c r="O111" s="333" t="s">
        <v>656</v>
      </c>
      <c r="P111" s="325"/>
      <c r="Q111" s="325"/>
      <c r="R111" s="325"/>
      <c r="S111" s="325"/>
      <c r="T111" s="325"/>
      <c r="U111" s="340"/>
      <c r="V111" s="325"/>
      <c r="W111" s="325"/>
      <c r="X111" s="325"/>
      <c r="Y111" s="325"/>
      <c r="Z111" s="325"/>
      <c r="AA111" s="325"/>
      <c r="AB111" s="325"/>
      <c r="AC111" s="325"/>
      <c r="AD111" s="325"/>
      <c r="AE111" s="325"/>
      <c r="AF111" s="325"/>
      <c r="AG111" s="325"/>
      <c r="AH111" s="325"/>
      <c r="AI111" s="325"/>
      <c r="AJ111" s="325"/>
      <c r="AK111" s="325"/>
      <c r="AL111" s="325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</row>
    <row r="112" ht="15.75" customHeight="1">
      <c r="A112" s="273" t="s">
        <v>624</v>
      </c>
      <c r="B112" s="273"/>
      <c r="C112" s="273"/>
      <c r="D112" s="273"/>
      <c r="E112" s="42"/>
      <c r="F112" s="363"/>
      <c r="G112" s="53"/>
      <c r="H112" s="94"/>
      <c r="I112" s="323"/>
      <c r="J112" s="323"/>
      <c r="K112" s="331"/>
      <c r="L112" s="325"/>
      <c r="M112" s="325"/>
      <c r="N112" s="344" t="s">
        <v>662</v>
      </c>
      <c r="O112" s="60"/>
      <c r="P112" s="325"/>
      <c r="Q112" s="325"/>
      <c r="R112" s="325"/>
      <c r="S112" s="325"/>
      <c r="T112" s="332"/>
      <c r="U112" s="345"/>
      <c r="V112" s="332"/>
      <c r="W112" s="332"/>
      <c r="X112" s="332"/>
      <c r="Y112" s="332"/>
      <c r="Z112" s="332"/>
      <c r="AA112" s="332"/>
      <c r="AB112" s="332"/>
      <c r="AC112" s="332"/>
      <c r="AD112" s="332"/>
      <c r="AE112" s="332"/>
      <c r="AF112" s="332"/>
      <c r="AG112" s="332"/>
      <c r="AH112" s="332"/>
      <c r="AI112" s="332"/>
      <c r="AJ112" s="332"/>
      <c r="AK112" s="332"/>
      <c r="AL112" s="332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</row>
    <row r="113" ht="15.75" customHeight="1">
      <c r="A113" s="273" t="s">
        <v>624</v>
      </c>
      <c r="B113" s="273" t="s">
        <v>48</v>
      </c>
      <c r="C113" s="273" t="s">
        <v>678</v>
      </c>
      <c r="D113" s="273" t="s">
        <v>72</v>
      </c>
      <c r="E113" s="42" t="s">
        <v>831</v>
      </c>
      <c r="F113" s="52" t="s">
        <v>680</v>
      </c>
      <c r="G113" s="53">
        <v>6.39387741704E11</v>
      </c>
      <c r="H113" s="94" t="s">
        <v>83</v>
      </c>
      <c r="I113" s="330">
        <v>45593.0</v>
      </c>
      <c r="J113" s="330">
        <v>45775.0</v>
      </c>
      <c r="K113" s="331"/>
      <c r="L113" s="337" t="s">
        <v>682</v>
      </c>
      <c r="M113" s="332"/>
      <c r="N113" s="337" t="s">
        <v>678</v>
      </c>
      <c r="O113" s="337" t="s">
        <v>683</v>
      </c>
      <c r="P113" s="332"/>
      <c r="Q113" s="332"/>
      <c r="R113" s="332"/>
      <c r="S113" s="332"/>
      <c r="T113" s="332"/>
      <c r="U113" s="345"/>
      <c r="V113" s="332"/>
      <c r="W113" s="332"/>
      <c r="X113" s="332"/>
      <c r="Y113" s="332"/>
      <c r="Z113" s="332"/>
      <c r="AA113" s="332"/>
      <c r="AB113" s="332"/>
      <c r="AC113" s="332"/>
      <c r="AD113" s="332"/>
      <c r="AE113" s="332"/>
      <c r="AF113" s="332"/>
      <c r="AG113" s="332"/>
      <c r="AH113" s="332"/>
      <c r="AI113" s="332"/>
      <c r="AJ113" s="332"/>
      <c r="AK113" s="332"/>
      <c r="AL113" s="332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</row>
    <row r="114" ht="15.75" customHeight="1">
      <c r="A114" s="273" t="s">
        <v>624</v>
      </c>
      <c r="B114" s="273" t="s">
        <v>104</v>
      </c>
      <c r="C114" s="273" t="s">
        <v>644</v>
      </c>
      <c r="D114" s="273" t="s">
        <v>72</v>
      </c>
      <c r="E114" s="42" t="s">
        <v>645</v>
      </c>
      <c r="F114" s="52" t="s">
        <v>646</v>
      </c>
      <c r="G114" s="53">
        <v>6.39984318331E11</v>
      </c>
      <c r="H114" s="94" t="s">
        <v>83</v>
      </c>
      <c r="I114" s="334">
        <v>46009.0</v>
      </c>
      <c r="J114" s="334">
        <v>46009.0</v>
      </c>
      <c r="K114" s="351"/>
      <c r="L114" s="333" t="s">
        <v>648</v>
      </c>
      <c r="M114" s="325"/>
      <c r="N114" s="333" t="s">
        <v>644</v>
      </c>
      <c r="O114" s="332"/>
      <c r="P114" s="325"/>
      <c r="Q114" s="325"/>
      <c r="R114" s="325"/>
      <c r="S114" s="325"/>
      <c r="T114" s="332"/>
      <c r="U114" s="345"/>
      <c r="V114" s="332"/>
      <c r="W114" s="332"/>
      <c r="X114" s="332"/>
      <c r="Y114" s="332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2"/>
      <c r="AL114" s="332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</row>
    <row r="115" ht="15.75" customHeight="1">
      <c r="A115" s="273" t="s">
        <v>624</v>
      </c>
      <c r="B115" s="273" t="s">
        <v>48</v>
      </c>
      <c r="C115" s="273" t="s">
        <v>662</v>
      </c>
      <c r="D115" s="273" t="s">
        <v>72</v>
      </c>
      <c r="E115" s="42" t="s">
        <v>663</v>
      </c>
      <c r="F115" s="364" t="s">
        <v>664</v>
      </c>
      <c r="G115" s="53">
        <v>6.39952268248E11</v>
      </c>
      <c r="H115" s="94" t="s">
        <v>83</v>
      </c>
      <c r="I115" s="330">
        <v>45688.0</v>
      </c>
      <c r="J115" s="330">
        <v>46053.0</v>
      </c>
      <c r="K115" s="331"/>
      <c r="L115" s="332"/>
      <c r="M115" s="332"/>
      <c r="N115" s="337" t="s">
        <v>662</v>
      </c>
      <c r="O115" s="337" t="s">
        <v>666</v>
      </c>
      <c r="P115" s="332"/>
      <c r="Q115" s="332"/>
      <c r="R115" s="332"/>
      <c r="S115" s="332"/>
      <c r="T115" s="325"/>
      <c r="U115" s="340"/>
      <c r="V115" s="325"/>
      <c r="W115" s="325"/>
      <c r="X115" s="325"/>
      <c r="Y115" s="325"/>
      <c r="Z115" s="325"/>
      <c r="AA115" s="325"/>
      <c r="AB115" s="325"/>
      <c r="AC115" s="325"/>
      <c r="AD115" s="325"/>
      <c r="AE115" s="325"/>
      <c r="AF115" s="325"/>
      <c r="AG115" s="325"/>
      <c r="AH115" s="325"/>
      <c r="AI115" s="325"/>
      <c r="AJ115" s="325"/>
      <c r="AK115" s="325"/>
      <c r="AL115" s="325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</row>
    <row r="116">
      <c r="A116" s="273" t="s">
        <v>624</v>
      </c>
      <c r="B116" s="273" t="s">
        <v>48</v>
      </c>
      <c r="C116" s="273" t="s">
        <v>636</v>
      </c>
      <c r="D116" s="273" t="s">
        <v>72</v>
      </c>
      <c r="E116" s="42" t="s">
        <v>832</v>
      </c>
      <c r="F116" s="254" t="s">
        <v>638</v>
      </c>
      <c r="G116" s="53"/>
      <c r="H116" s="94" t="s">
        <v>83</v>
      </c>
      <c r="I116" s="323"/>
      <c r="J116" s="323"/>
      <c r="K116" s="324"/>
      <c r="L116" s="325"/>
      <c r="M116" s="325"/>
      <c r="N116" s="344" t="s">
        <v>636</v>
      </c>
      <c r="O116" s="333" t="s">
        <v>639</v>
      </c>
      <c r="P116" s="325"/>
      <c r="Q116" s="325"/>
      <c r="R116" s="325"/>
      <c r="S116" s="325"/>
      <c r="T116" s="325"/>
      <c r="U116" s="340"/>
      <c r="V116" s="325"/>
      <c r="W116" s="325"/>
      <c r="X116" s="325"/>
      <c r="Y116" s="325"/>
      <c r="Z116" s="325"/>
      <c r="AA116" s="325"/>
      <c r="AB116" s="325"/>
      <c r="AC116" s="325"/>
      <c r="AD116" s="325"/>
      <c r="AE116" s="325"/>
      <c r="AF116" s="325"/>
      <c r="AG116" s="325"/>
      <c r="AH116" s="325"/>
      <c r="AI116" s="325"/>
      <c r="AJ116" s="325"/>
      <c r="AK116" s="325"/>
      <c r="AL116" s="325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</row>
    <row r="117" ht="15.75" customHeight="1">
      <c r="A117" s="273" t="s">
        <v>624</v>
      </c>
      <c r="B117" s="273" t="s">
        <v>48</v>
      </c>
      <c r="C117" s="273" t="s">
        <v>640</v>
      </c>
      <c r="D117" s="273" t="s">
        <v>72</v>
      </c>
      <c r="E117" s="42" t="s">
        <v>641</v>
      </c>
      <c r="F117" s="187"/>
      <c r="G117" s="44"/>
      <c r="H117" s="94" t="s">
        <v>58</v>
      </c>
      <c r="I117" s="365"/>
      <c r="J117" s="365"/>
      <c r="K117" s="331"/>
      <c r="L117" s="333"/>
      <c r="M117" s="332"/>
      <c r="N117" s="337" t="s">
        <v>640</v>
      </c>
      <c r="O117" s="337" t="s">
        <v>643</v>
      </c>
      <c r="P117" s="332"/>
      <c r="Q117" s="332"/>
      <c r="R117" s="332"/>
      <c r="S117" s="332"/>
      <c r="T117" s="332"/>
      <c r="U117" s="345"/>
      <c r="V117" s="332"/>
      <c r="W117" s="332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2"/>
      <c r="AK117" s="332"/>
      <c r="AL117" s="332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</row>
    <row r="118" ht="15.75" customHeight="1">
      <c r="A118" s="273" t="s">
        <v>624</v>
      </c>
      <c r="B118" s="273" t="s">
        <v>48</v>
      </c>
      <c r="C118" s="273" t="s">
        <v>480</v>
      </c>
      <c r="D118" s="273" t="s">
        <v>72</v>
      </c>
      <c r="E118" s="42" t="s">
        <v>481</v>
      </c>
      <c r="F118" s="52" t="s">
        <v>670</v>
      </c>
      <c r="G118" s="53">
        <v>6.39168745391E11</v>
      </c>
      <c r="H118" s="42" t="s">
        <v>83</v>
      </c>
      <c r="I118" s="330">
        <v>45708.0</v>
      </c>
      <c r="J118" s="330">
        <v>46073.0</v>
      </c>
      <c r="K118" s="351"/>
      <c r="L118" s="333" t="s">
        <v>482</v>
      </c>
      <c r="M118" s="324"/>
      <c r="N118" s="333" t="s">
        <v>480</v>
      </c>
      <c r="O118" s="344" t="s">
        <v>672</v>
      </c>
      <c r="P118" s="324"/>
      <c r="Q118" s="324"/>
      <c r="R118" s="324"/>
      <c r="S118" s="324"/>
      <c r="T118" s="325"/>
      <c r="U118" s="340"/>
      <c r="V118" s="325"/>
      <c r="W118" s="325"/>
      <c r="X118" s="325"/>
      <c r="Y118" s="325"/>
      <c r="Z118" s="325"/>
      <c r="AA118" s="325"/>
      <c r="AB118" s="325"/>
      <c r="AC118" s="325"/>
      <c r="AD118" s="325"/>
      <c r="AE118" s="325"/>
      <c r="AF118" s="325"/>
      <c r="AG118" s="325"/>
      <c r="AH118" s="325"/>
      <c r="AI118" s="325"/>
      <c r="AJ118" s="325"/>
      <c r="AK118" s="325"/>
      <c r="AL118" s="325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</row>
    <row r="119" ht="15.75" customHeight="1">
      <c r="A119" s="273" t="s">
        <v>624</v>
      </c>
      <c r="B119" s="273" t="s">
        <v>48</v>
      </c>
      <c r="C119" s="273" t="s">
        <v>483</v>
      </c>
      <c r="D119" s="273" t="s">
        <v>72</v>
      </c>
      <c r="E119" s="42" t="s">
        <v>484</v>
      </c>
      <c r="F119" s="366" t="s">
        <v>687</v>
      </c>
      <c r="G119" s="367" t="s">
        <v>833</v>
      </c>
      <c r="H119" s="94" t="s">
        <v>83</v>
      </c>
      <c r="I119" s="350">
        <v>45754.0</v>
      </c>
      <c r="J119" s="350">
        <v>45937.0</v>
      </c>
      <c r="K119" s="331"/>
      <c r="L119" s="368" t="s">
        <v>485</v>
      </c>
      <c r="M119" s="332"/>
      <c r="N119" s="368" t="s">
        <v>483</v>
      </c>
      <c r="O119" s="368" t="s">
        <v>691</v>
      </c>
      <c r="P119" s="332"/>
      <c r="Q119" s="332"/>
      <c r="R119" s="332"/>
      <c r="S119" s="332"/>
      <c r="T119" s="332"/>
      <c r="U119" s="345"/>
      <c r="V119" s="332"/>
      <c r="W119" s="332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</row>
    <row r="120" ht="15.75" customHeight="1">
      <c r="A120" s="273" t="s">
        <v>624</v>
      </c>
      <c r="B120" s="273" t="s">
        <v>48</v>
      </c>
      <c r="C120" s="273" t="s">
        <v>673</v>
      </c>
      <c r="D120" s="273" t="s">
        <v>72</v>
      </c>
      <c r="E120" s="42" t="s">
        <v>490</v>
      </c>
      <c r="F120" s="52" t="s">
        <v>674</v>
      </c>
      <c r="G120" s="53">
        <v>6.39209284645E11</v>
      </c>
      <c r="H120" s="94" t="s">
        <v>83</v>
      </c>
      <c r="I120" s="330">
        <v>45761.0</v>
      </c>
      <c r="J120" s="330">
        <v>45934.0</v>
      </c>
      <c r="K120" s="331"/>
      <c r="L120" s="333" t="s">
        <v>492</v>
      </c>
      <c r="M120" s="325"/>
      <c r="N120" s="333" t="s">
        <v>673</v>
      </c>
      <c r="O120" s="333" t="s">
        <v>676</v>
      </c>
      <c r="P120" s="325"/>
      <c r="Q120" s="325"/>
      <c r="R120" s="325"/>
      <c r="S120" s="325"/>
      <c r="T120" s="324"/>
      <c r="U120" s="326"/>
      <c r="V120" s="324"/>
      <c r="W120" s="324"/>
      <c r="X120" s="324"/>
      <c r="Y120" s="324"/>
      <c r="Z120" s="324"/>
      <c r="AA120" s="324"/>
      <c r="AB120" s="324"/>
      <c r="AC120" s="324"/>
      <c r="AD120" s="324"/>
      <c r="AE120" s="324"/>
      <c r="AF120" s="324"/>
      <c r="AG120" s="324"/>
      <c r="AH120" s="324"/>
      <c r="AI120" s="324"/>
      <c r="AJ120" s="324"/>
      <c r="AK120" s="324"/>
      <c r="AL120" s="324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</row>
    <row r="121" ht="15.75" customHeight="1">
      <c r="A121" s="273" t="s">
        <v>624</v>
      </c>
      <c r="B121" s="273" t="s">
        <v>48</v>
      </c>
      <c r="C121" s="273" t="s">
        <v>625</v>
      </c>
      <c r="D121" s="273" t="s">
        <v>87</v>
      </c>
      <c r="E121" s="42" t="s">
        <v>465</v>
      </c>
      <c r="F121" s="369" t="s">
        <v>834</v>
      </c>
      <c r="G121" s="44"/>
      <c r="H121" s="94"/>
      <c r="I121" s="346"/>
      <c r="J121" s="346"/>
      <c r="K121" s="331"/>
      <c r="L121" s="332"/>
      <c r="M121" s="332"/>
      <c r="N121" s="337" t="s">
        <v>625</v>
      </c>
      <c r="O121" s="360" t="s">
        <v>629</v>
      </c>
      <c r="P121" s="332"/>
      <c r="Q121" s="332"/>
      <c r="R121" s="332"/>
      <c r="S121" s="332"/>
      <c r="T121" s="325"/>
      <c r="U121" s="340"/>
      <c r="V121" s="325"/>
      <c r="W121" s="325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  <c r="AH121" s="325"/>
      <c r="AI121" s="325"/>
      <c r="AJ121" s="325"/>
      <c r="AK121" s="325"/>
      <c r="AL121" s="325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</row>
    <row r="122" ht="15.75" customHeight="1">
      <c r="A122" s="273" t="s">
        <v>52</v>
      </c>
      <c r="B122" s="273" t="s">
        <v>48</v>
      </c>
      <c r="C122" s="273" t="s">
        <v>790</v>
      </c>
      <c r="D122" s="273" t="s">
        <v>72</v>
      </c>
      <c r="E122" s="42" t="s">
        <v>777</v>
      </c>
      <c r="F122" s="187" t="s">
        <v>778</v>
      </c>
      <c r="G122" s="44"/>
      <c r="H122" s="94"/>
      <c r="I122" s="334">
        <v>45779.0</v>
      </c>
      <c r="J122" s="334">
        <v>46144.0</v>
      </c>
      <c r="K122" s="351"/>
      <c r="L122" s="337" t="s">
        <v>835</v>
      </c>
      <c r="M122" s="325"/>
      <c r="N122" s="333" t="s">
        <v>790</v>
      </c>
      <c r="O122" s="338" t="s">
        <v>791</v>
      </c>
      <c r="P122" s="325"/>
      <c r="Q122" s="325"/>
      <c r="R122" s="325"/>
      <c r="S122" s="325"/>
      <c r="T122" s="370"/>
      <c r="U122" s="371"/>
      <c r="V122" s="370"/>
      <c r="W122" s="370"/>
      <c r="X122" s="370"/>
      <c r="Y122" s="370"/>
      <c r="Z122" s="370"/>
      <c r="AA122" s="370"/>
      <c r="AB122" s="370"/>
      <c r="AC122" s="370"/>
      <c r="AD122" s="370"/>
      <c r="AE122" s="370"/>
      <c r="AF122" s="370"/>
      <c r="AG122" s="370"/>
      <c r="AH122" s="370"/>
      <c r="AI122" s="370"/>
      <c r="AJ122" s="370"/>
      <c r="AK122" s="370"/>
      <c r="AL122" s="37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</row>
    <row r="123" ht="15.75" customHeight="1">
      <c r="A123" s="273" t="s">
        <v>52</v>
      </c>
      <c r="B123" s="273" t="s">
        <v>48</v>
      </c>
      <c r="C123" s="273" t="s">
        <v>768</v>
      </c>
      <c r="D123" s="273" t="s">
        <v>72</v>
      </c>
      <c r="E123" s="42" t="s">
        <v>770</v>
      </c>
      <c r="F123" s="52" t="s">
        <v>771</v>
      </c>
      <c r="G123" s="372">
        <v>9.778899043E9</v>
      </c>
      <c r="H123" s="94" t="s">
        <v>83</v>
      </c>
      <c r="I123" s="334">
        <v>45474.0</v>
      </c>
      <c r="J123" s="334">
        <v>45838.0</v>
      </c>
      <c r="K123" s="351"/>
      <c r="L123" s="325"/>
      <c r="M123" s="325"/>
      <c r="N123" s="337" t="s">
        <v>768</v>
      </c>
      <c r="O123" s="338" t="s">
        <v>773</v>
      </c>
      <c r="P123" s="337" t="s">
        <v>768</v>
      </c>
      <c r="Q123" s="325"/>
      <c r="R123" s="325"/>
      <c r="S123" s="325"/>
      <c r="T123" s="359"/>
      <c r="U123" s="373"/>
      <c r="V123" s="359"/>
      <c r="W123" s="359"/>
      <c r="X123" s="359"/>
      <c r="Y123" s="359"/>
      <c r="Z123" s="359"/>
      <c r="AA123" s="359"/>
      <c r="AB123" s="359"/>
      <c r="AC123" s="359"/>
      <c r="AD123" s="359"/>
      <c r="AE123" s="359"/>
      <c r="AF123" s="359"/>
      <c r="AG123" s="359"/>
      <c r="AH123" s="359"/>
      <c r="AI123" s="359"/>
      <c r="AJ123" s="359"/>
      <c r="AK123" s="359"/>
      <c r="AL123" s="359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</row>
    <row r="124" ht="15.75" customHeight="1">
      <c r="A124" s="273" t="s">
        <v>52</v>
      </c>
      <c r="B124" s="273" t="s">
        <v>48</v>
      </c>
      <c r="C124" s="273" t="s">
        <v>715</v>
      </c>
      <c r="D124" s="273" t="s">
        <v>72</v>
      </c>
      <c r="E124" s="42" t="s">
        <v>505</v>
      </c>
      <c r="F124" s="52" t="s">
        <v>706</v>
      </c>
      <c r="G124" s="53">
        <v>6.39173295753E11</v>
      </c>
      <c r="H124" s="94" t="s">
        <v>83</v>
      </c>
      <c r="I124" s="330">
        <v>45505.0</v>
      </c>
      <c r="J124" s="330">
        <v>45870.0</v>
      </c>
      <c r="K124" s="331"/>
      <c r="L124" s="344" t="s">
        <v>836</v>
      </c>
      <c r="M124" s="332"/>
      <c r="N124" s="333" t="s">
        <v>715</v>
      </c>
      <c r="O124" s="344" t="s">
        <v>716</v>
      </c>
      <c r="P124" s="333" t="s">
        <v>715</v>
      </c>
      <c r="Q124" s="332"/>
      <c r="R124" s="332"/>
      <c r="S124" s="332"/>
      <c r="T124" s="374"/>
      <c r="U124" s="375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  <c r="AH124" s="374"/>
      <c r="AI124" s="374"/>
      <c r="AJ124" s="374"/>
      <c r="AK124" s="374"/>
      <c r="AL124" s="374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</row>
    <row r="125" ht="15.75" customHeight="1">
      <c r="A125" s="273" t="s">
        <v>52</v>
      </c>
      <c r="B125" s="273" t="s">
        <v>48</v>
      </c>
      <c r="C125" s="273" t="s">
        <v>717</v>
      </c>
      <c r="D125" s="273" t="s">
        <v>72</v>
      </c>
      <c r="E125" s="42" t="s">
        <v>505</v>
      </c>
      <c r="F125" s="52" t="s">
        <v>706</v>
      </c>
      <c r="G125" s="53">
        <v>6.39173295753E11</v>
      </c>
      <c r="H125" s="94" t="s">
        <v>83</v>
      </c>
      <c r="I125" s="334">
        <v>45505.0</v>
      </c>
      <c r="J125" s="334">
        <v>45870.0</v>
      </c>
      <c r="K125" s="351"/>
      <c r="L125" s="337" t="s">
        <v>836</v>
      </c>
      <c r="M125" s="325"/>
      <c r="N125" s="337" t="s">
        <v>717</v>
      </c>
      <c r="O125" s="338" t="s">
        <v>718</v>
      </c>
      <c r="P125" s="337" t="s">
        <v>717</v>
      </c>
      <c r="Q125" s="325"/>
      <c r="R125" s="325"/>
      <c r="S125" s="325"/>
      <c r="T125" s="370"/>
      <c r="U125" s="371"/>
      <c r="V125" s="370"/>
      <c r="W125" s="370"/>
      <c r="X125" s="370"/>
      <c r="Y125" s="370"/>
      <c r="Z125" s="370"/>
      <c r="AA125" s="370"/>
      <c r="AB125" s="370"/>
      <c r="AC125" s="370"/>
      <c r="AD125" s="370"/>
      <c r="AE125" s="370"/>
      <c r="AF125" s="370"/>
      <c r="AG125" s="370"/>
      <c r="AH125" s="370"/>
      <c r="AI125" s="370"/>
      <c r="AJ125" s="370"/>
      <c r="AK125" s="370"/>
      <c r="AL125" s="37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</row>
    <row r="126" ht="15.75" customHeight="1">
      <c r="A126" s="273" t="s">
        <v>52</v>
      </c>
      <c r="B126" s="273" t="s">
        <v>48</v>
      </c>
      <c r="C126" s="273" t="s">
        <v>719</v>
      </c>
      <c r="D126" s="273" t="s">
        <v>72</v>
      </c>
      <c r="E126" s="42" t="s">
        <v>505</v>
      </c>
      <c r="F126" s="52" t="s">
        <v>706</v>
      </c>
      <c r="G126" s="53">
        <v>6.39173295753E11</v>
      </c>
      <c r="H126" s="94" t="s">
        <v>83</v>
      </c>
      <c r="I126" s="330">
        <v>45506.0</v>
      </c>
      <c r="J126" s="330">
        <v>45871.0</v>
      </c>
      <c r="K126" s="331"/>
      <c r="L126" s="333" t="s">
        <v>747</v>
      </c>
      <c r="M126" s="332"/>
      <c r="N126" s="333" t="s">
        <v>719</v>
      </c>
      <c r="O126" s="344" t="s">
        <v>720</v>
      </c>
      <c r="P126" s="333" t="s">
        <v>719</v>
      </c>
      <c r="Q126" s="332"/>
      <c r="R126" s="332"/>
      <c r="S126" s="332"/>
      <c r="T126" s="332"/>
      <c r="U126" s="345"/>
      <c r="V126" s="332"/>
      <c r="W126" s="332"/>
      <c r="X126" s="332"/>
      <c r="Y126" s="332"/>
      <c r="Z126" s="332"/>
      <c r="AA126" s="332"/>
      <c r="AB126" s="332"/>
      <c r="AC126" s="332"/>
      <c r="AD126" s="332"/>
      <c r="AE126" s="332"/>
      <c r="AF126" s="332"/>
      <c r="AG126" s="332"/>
      <c r="AH126" s="332"/>
      <c r="AI126" s="332"/>
      <c r="AJ126" s="332"/>
      <c r="AK126" s="332"/>
      <c r="AL126" s="332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</row>
    <row r="127" ht="15.75" customHeight="1">
      <c r="A127" s="273" t="s">
        <v>52</v>
      </c>
      <c r="B127" s="273" t="s">
        <v>48</v>
      </c>
      <c r="C127" s="273" t="s">
        <v>721</v>
      </c>
      <c r="D127" s="273" t="s">
        <v>72</v>
      </c>
      <c r="E127" s="42" t="s">
        <v>505</v>
      </c>
      <c r="F127" s="52" t="s">
        <v>706</v>
      </c>
      <c r="G127" s="53">
        <v>6.39173295753E11</v>
      </c>
      <c r="H127" s="94" t="s">
        <v>83</v>
      </c>
      <c r="I127" s="334">
        <v>45523.0</v>
      </c>
      <c r="J127" s="334">
        <v>45888.0</v>
      </c>
      <c r="K127" s="351"/>
      <c r="L127" s="337" t="s">
        <v>788</v>
      </c>
      <c r="M127" s="325"/>
      <c r="N127" s="337" t="s">
        <v>721</v>
      </c>
      <c r="O127" s="338" t="s">
        <v>722</v>
      </c>
      <c r="P127" s="337" t="s">
        <v>721</v>
      </c>
      <c r="Q127" s="325"/>
      <c r="R127" s="325"/>
      <c r="S127" s="325"/>
      <c r="T127" s="325"/>
      <c r="U127" s="340"/>
      <c r="V127" s="325"/>
      <c r="W127" s="325"/>
      <c r="X127" s="325"/>
      <c r="Y127" s="325"/>
      <c r="Z127" s="325"/>
      <c r="AA127" s="325"/>
      <c r="AB127" s="325"/>
      <c r="AC127" s="325"/>
      <c r="AD127" s="325"/>
      <c r="AE127" s="325"/>
      <c r="AF127" s="325"/>
      <c r="AG127" s="325"/>
      <c r="AH127" s="325"/>
      <c r="AI127" s="325"/>
      <c r="AJ127" s="325"/>
      <c r="AK127" s="325"/>
      <c r="AL127" s="325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</row>
    <row r="128" ht="15.75" customHeight="1">
      <c r="A128" s="273" t="s">
        <v>52</v>
      </c>
      <c r="B128" s="273"/>
      <c r="C128" s="376">
        <v>17.0</v>
      </c>
      <c r="D128" s="359"/>
      <c r="E128" s="45"/>
      <c r="F128" s="187"/>
      <c r="G128" s="53"/>
      <c r="H128" s="45"/>
      <c r="I128" s="330">
        <v>45628.0</v>
      </c>
      <c r="J128" s="330">
        <v>45993.0</v>
      </c>
      <c r="K128" s="351"/>
      <c r="L128" s="333" t="s">
        <v>806</v>
      </c>
      <c r="M128" s="332"/>
      <c r="N128" s="333" t="s">
        <v>802</v>
      </c>
      <c r="O128" s="333" t="s">
        <v>837</v>
      </c>
      <c r="P128" s="332"/>
      <c r="Q128" s="332"/>
      <c r="R128" s="332"/>
      <c r="S128" s="332"/>
      <c r="T128" s="325"/>
      <c r="U128" s="340"/>
      <c r="V128" s="325"/>
      <c r="W128" s="325"/>
      <c r="X128" s="325"/>
      <c r="Y128" s="325"/>
      <c r="Z128" s="325"/>
      <c r="AA128" s="325"/>
      <c r="AB128" s="325"/>
      <c r="AC128" s="325"/>
      <c r="AD128" s="325"/>
      <c r="AE128" s="325"/>
      <c r="AF128" s="325"/>
      <c r="AG128" s="325"/>
      <c r="AH128" s="325"/>
      <c r="AI128" s="325"/>
      <c r="AJ128" s="325"/>
      <c r="AK128" s="325"/>
      <c r="AL128" s="325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</row>
    <row r="129" ht="15.75" customHeight="1">
      <c r="A129" s="273" t="s">
        <v>52</v>
      </c>
      <c r="B129" s="273"/>
      <c r="C129" s="376">
        <v>23.0</v>
      </c>
      <c r="D129" s="359"/>
      <c r="E129" s="45"/>
      <c r="F129" s="187"/>
      <c r="G129" s="53"/>
      <c r="H129" s="45"/>
      <c r="I129" s="323"/>
      <c r="J129" s="323"/>
      <c r="K129" s="351"/>
      <c r="L129" s="325"/>
      <c r="M129" s="325"/>
      <c r="N129" s="60"/>
      <c r="O129" s="60"/>
      <c r="P129" s="60"/>
      <c r="Q129" s="325"/>
      <c r="R129" s="325"/>
      <c r="S129" s="325"/>
      <c r="T129" s="332"/>
      <c r="U129" s="345"/>
      <c r="V129" s="332"/>
      <c r="W129" s="332"/>
      <c r="X129" s="332"/>
      <c r="Y129" s="332"/>
      <c r="Z129" s="332"/>
      <c r="AA129" s="332"/>
      <c r="AB129" s="332"/>
      <c r="AC129" s="332"/>
      <c r="AD129" s="332"/>
      <c r="AE129" s="332"/>
      <c r="AF129" s="332"/>
      <c r="AG129" s="332"/>
      <c r="AH129" s="332"/>
      <c r="AI129" s="332"/>
      <c r="AJ129" s="332"/>
      <c r="AK129" s="332"/>
      <c r="AL129" s="332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</row>
    <row r="130" ht="15.75" customHeight="1">
      <c r="A130" s="273" t="s">
        <v>52</v>
      </c>
      <c r="B130" s="273"/>
      <c r="C130" s="377">
        <v>8.0</v>
      </c>
      <c r="D130" s="273"/>
      <c r="E130" s="42"/>
      <c r="F130" s="187"/>
      <c r="G130" s="44"/>
      <c r="H130" s="94"/>
      <c r="I130" s="330">
        <v>45654.0</v>
      </c>
      <c r="J130" s="330">
        <v>46019.0</v>
      </c>
      <c r="K130" s="351"/>
      <c r="L130" s="333" t="s">
        <v>741</v>
      </c>
      <c r="M130" s="332"/>
      <c r="N130" s="333" t="s">
        <v>737</v>
      </c>
      <c r="O130" s="333" t="s">
        <v>742</v>
      </c>
      <c r="P130" s="333" t="s">
        <v>737</v>
      </c>
      <c r="Q130" s="332"/>
      <c r="R130" s="332"/>
      <c r="S130" s="332"/>
      <c r="T130" s="325"/>
      <c r="U130" s="340"/>
      <c r="V130" s="325"/>
      <c r="W130" s="325"/>
      <c r="X130" s="325"/>
      <c r="Y130" s="325"/>
      <c r="Z130" s="325"/>
      <c r="AA130" s="325"/>
      <c r="AB130" s="325"/>
      <c r="AC130" s="325"/>
      <c r="AD130" s="325"/>
      <c r="AE130" s="325"/>
      <c r="AF130" s="325"/>
      <c r="AG130" s="325"/>
      <c r="AH130" s="325"/>
      <c r="AI130" s="325"/>
      <c r="AJ130" s="325"/>
      <c r="AK130" s="325"/>
      <c r="AL130" s="325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</row>
    <row r="131" ht="15.75" customHeight="1">
      <c r="A131" s="273" t="s">
        <v>52</v>
      </c>
      <c r="B131" s="273"/>
      <c r="C131" s="273"/>
      <c r="D131" s="273"/>
      <c r="E131" s="42"/>
      <c r="F131" s="187"/>
      <c r="G131" s="44"/>
      <c r="H131" s="94"/>
      <c r="I131" s="334">
        <v>45689.0</v>
      </c>
      <c r="J131" s="334">
        <v>46053.0</v>
      </c>
      <c r="K131" s="351"/>
      <c r="L131" s="325"/>
      <c r="M131" s="325" t="s">
        <v>711</v>
      </c>
      <c r="N131" s="337" t="s">
        <v>762</v>
      </c>
      <c r="O131" s="337" t="s">
        <v>766</v>
      </c>
      <c r="P131" s="337" t="s">
        <v>762</v>
      </c>
      <c r="Q131" s="325"/>
      <c r="R131" s="325"/>
      <c r="S131" s="325"/>
      <c r="T131" s="332"/>
      <c r="U131" s="345"/>
      <c r="V131" s="332"/>
      <c r="W131" s="332"/>
      <c r="X131" s="332"/>
      <c r="Y131" s="332"/>
      <c r="Z131" s="332"/>
      <c r="AA131" s="332"/>
      <c r="AB131" s="332"/>
      <c r="AC131" s="332"/>
      <c r="AD131" s="332"/>
      <c r="AE131" s="332"/>
      <c r="AF131" s="332"/>
      <c r="AG131" s="332"/>
      <c r="AH131" s="332"/>
      <c r="AI131" s="332"/>
      <c r="AJ131" s="332"/>
      <c r="AK131" s="332"/>
      <c r="AL131" s="332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</row>
    <row r="132" ht="15.75" customHeight="1">
      <c r="A132" s="273" t="s">
        <v>52</v>
      </c>
      <c r="B132" s="273"/>
      <c r="C132" s="273"/>
      <c r="D132" s="273"/>
      <c r="E132" s="42"/>
      <c r="F132" s="187"/>
      <c r="G132" s="44"/>
      <c r="H132" s="94"/>
      <c r="I132" s="346"/>
      <c r="J132" s="346"/>
      <c r="K132" s="351"/>
      <c r="L132" s="332"/>
      <c r="M132" s="332"/>
      <c r="N132" s="333" t="s">
        <v>774</v>
      </c>
      <c r="O132" s="332"/>
      <c r="P132" s="339"/>
      <c r="Q132" s="332"/>
      <c r="R132" s="332"/>
      <c r="S132" s="332"/>
      <c r="T132" s="325"/>
      <c r="U132" s="340"/>
      <c r="V132" s="325"/>
      <c r="W132" s="325"/>
      <c r="X132" s="325"/>
      <c r="Y132" s="325"/>
      <c r="Z132" s="325"/>
      <c r="AA132" s="325"/>
      <c r="AB132" s="325"/>
      <c r="AC132" s="325"/>
      <c r="AD132" s="325"/>
      <c r="AE132" s="325"/>
      <c r="AF132" s="325"/>
      <c r="AG132" s="325"/>
      <c r="AH132" s="325"/>
      <c r="AI132" s="325"/>
      <c r="AJ132" s="325"/>
      <c r="AK132" s="325"/>
      <c r="AL132" s="325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</row>
    <row r="133" ht="15.75" customHeight="1">
      <c r="A133" s="273" t="s">
        <v>52</v>
      </c>
      <c r="B133" s="273"/>
      <c r="C133" s="273"/>
      <c r="D133" s="273"/>
      <c r="E133" s="42"/>
      <c r="F133" s="187"/>
      <c r="G133" s="44"/>
      <c r="H133" s="94"/>
      <c r="I133" s="334">
        <v>45748.0</v>
      </c>
      <c r="J133" s="334">
        <v>46112.0</v>
      </c>
      <c r="K133" s="351"/>
      <c r="L133" s="325"/>
      <c r="M133" s="325"/>
      <c r="N133" s="60"/>
      <c r="O133" s="60"/>
      <c r="P133" s="60"/>
      <c r="Q133" s="325"/>
      <c r="R133" s="325"/>
      <c r="S133" s="325"/>
      <c r="T133" s="359"/>
      <c r="U133" s="373"/>
      <c r="V133" s="359"/>
      <c r="W133" s="359"/>
      <c r="X133" s="359"/>
      <c r="Y133" s="359"/>
      <c r="Z133" s="359"/>
      <c r="AA133" s="359"/>
      <c r="AB133" s="359"/>
      <c r="AC133" s="359"/>
      <c r="AD133" s="359"/>
      <c r="AE133" s="359"/>
      <c r="AF133" s="359"/>
      <c r="AG133" s="359"/>
      <c r="AH133" s="359"/>
      <c r="AI133" s="359"/>
      <c r="AJ133" s="359"/>
      <c r="AK133" s="359"/>
      <c r="AL133" s="359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</row>
    <row r="134" ht="15.75" customHeight="1">
      <c r="A134" s="273" t="s">
        <v>52</v>
      </c>
      <c r="B134" s="273"/>
      <c r="C134" s="273"/>
      <c r="D134" s="273"/>
      <c r="E134" s="42"/>
      <c r="F134" s="187"/>
      <c r="G134" s="44"/>
      <c r="H134" s="94"/>
      <c r="I134" s="330">
        <v>45771.0</v>
      </c>
      <c r="J134" s="330">
        <v>46137.0</v>
      </c>
      <c r="K134" s="351"/>
      <c r="L134" s="332"/>
      <c r="M134" s="332"/>
      <c r="N134" s="60"/>
      <c r="O134" s="60"/>
      <c r="P134" s="60"/>
      <c r="Q134" s="332"/>
      <c r="R134" s="332"/>
      <c r="S134" s="332"/>
      <c r="T134" s="359"/>
      <c r="U134" s="373"/>
      <c r="V134" s="359"/>
      <c r="W134" s="359"/>
      <c r="X134" s="359"/>
      <c r="Y134" s="359"/>
      <c r="Z134" s="359"/>
      <c r="AA134" s="359"/>
      <c r="AB134" s="359"/>
      <c r="AC134" s="359"/>
      <c r="AD134" s="359"/>
      <c r="AE134" s="359"/>
      <c r="AF134" s="359"/>
      <c r="AG134" s="359"/>
      <c r="AH134" s="359"/>
      <c r="AI134" s="359"/>
      <c r="AJ134" s="359"/>
      <c r="AK134" s="359"/>
      <c r="AL134" s="359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</row>
    <row r="135" ht="15.75" customHeight="1">
      <c r="A135" s="273" t="s">
        <v>52</v>
      </c>
      <c r="B135" s="273"/>
      <c r="C135" s="273"/>
      <c r="D135" s="273"/>
      <c r="E135" s="42"/>
      <c r="F135" s="187"/>
      <c r="G135" s="44"/>
      <c r="H135" s="94"/>
      <c r="I135" s="334">
        <v>45771.0</v>
      </c>
      <c r="J135" s="334">
        <v>46137.0</v>
      </c>
      <c r="K135" s="351"/>
      <c r="L135" s="325"/>
      <c r="M135" s="325"/>
      <c r="N135" s="60"/>
      <c r="O135" s="60"/>
      <c r="P135" s="60"/>
      <c r="Q135" s="325"/>
      <c r="R135" s="325"/>
      <c r="S135" s="325"/>
      <c r="T135" s="359"/>
      <c r="U135" s="373"/>
      <c r="V135" s="359"/>
      <c r="W135" s="359"/>
      <c r="X135" s="359"/>
      <c r="Y135" s="359"/>
      <c r="Z135" s="359"/>
      <c r="AA135" s="359"/>
      <c r="AB135" s="359"/>
      <c r="AC135" s="359"/>
      <c r="AD135" s="359"/>
      <c r="AE135" s="359"/>
      <c r="AF135" s="359"/>
      <c r="AG135" s="359"/>
      <c r="AH135" s="359"/>
      <c r="AI135" s="359"/>
      <c r="AJ135" s="359"/>
      <c r="AK135" s="359"/>
      <c r="AL135" s="359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</row>
    <row r="136" ht="15.75" customHeight="1">
      <c r="A136" s="273" t="s">
        <v>52</v>
      </c>
      <c r="B136" s="273"/>
      <c r="C136" s="273"/>
      <c r="D136" s="273"/>
      <c r="E136" s="42"/>
      <c r="F136" s="187"/>
      <c r="G136" s="44"/>
      <c r="H136" s="94"/>
      <c r="I136" s="330">
        <v>45771.0</v>
      </c>
      <c r="J136" s="330">
        <v>46137.0</v>
      </c>
      <c r="K136" s="351"/>
      <c r="L136" s="332"/>
      <c r="M136" s="332"/>
      <c r="N136" s="60"/>
      <c r="O136" s="60"/>
      <c r="P136" s="60"/>
      <c r="Q136" s="332"/>
      <c r="R136" s="332"/>
      <c r="S136" s="332"/>
      <c r="T136" s="359"/>
      <c r="U136" s="373"/>
      <c r="V136" s="359"/>
      <c r="W136" s="359"/>
      <c r="X136" s="359"/>
      <c r="Y136" s="359"/>
      <c r="Z136" s="359"/>
      <c r="AA136" s="359"/>
      <c r="AB136" s="359"/>
      <c r="AC136" s="359"/>
      <c r="AD136" s="359"/>
      <c r="AE136" s="359"/>
      <c r="AF136" s="359"/>
      <c r="AG136" s="359"/>
      <c r="AH136" s="359"/>
      <c r="AI136" s="359"/>
      <c r="AJ136" s="359"/>
      <c r="AK136" s="359"/>
      <c r="AL136" s="359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</row>
    <row r="137" ht="15.75" customHeight="1">
      <c r="A137" s="273" t="s">
        <v>52</v>
      </c>
      <c r="B137" s="273"/>
      <c r="C137" s="273"/>
      <c r="D137" s="273"/>
      <c r="E137" s="42"/>
      <c r="F137" s="187"/>
      <c r="G137" s="44"/>
      <c r="H137" s="94"/>
      <c r="I137" s="334">
        <v>45771.0</v>
      </c>
      <c r="J137" s="334">
        <v>46137.0</v>
      </c>
      <c r="K137" s="351"/>
      <c r="L137" s="325"/>
      <c r="M137" s="325"/>
      <c r="N137" s="60"/>
      <c r="O137" s="60"/>
      <c r="P137" s="60"/>
      <c r="Q137" s="325"/>
      <c r="R137" s="325"/>
      <c r="S137" s="325"/>
      <c r="T137" s="60"/>
      <c r="U137" s="73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</row>
    <row r="138" ht="15.75" customHeight="1">
      <c r="A138" s="273" t="s">
        <v>52</v>
      </c>
      <c r="B138" s="273"/>
      <c r="C138" s="273"/>
      <c r="D138" s="273"/>
      <c r="E138" s="42"/>
      <c r="F138" s="187"/>
      <c r="G138" s="44"/>
      <c r="H138" s="94"/>
      <c r="I138" s="330">
        <v>45771.0</v>
      </c>
      <c r="J138" s="330">
        <v>46137.0</v>
      </c>
      <c r="K138" s="351"/>
      <c r="L138" s="332"/>
      <c r="M138" s="332"/>
      <c r="N138" s="60"/>
      <c r="O138" s="60"/>
      <c r="P138" s="60"/>
      <c r="Q138" s="332"/>
      <c r="R138" s="332"/>
      <c r="S138" s="332"/>
      <c r="T138" s="60"/>
      <c r="U138" s="73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</row>
    <row r="139" ht="15.75" customHeight="1">
      <c r="A139" s="273" t="s">
        <v>52</v>
      </c>
      <c r="B139" s="273"/>
      <c r="C139" s="273"/>
      <c r="D139" s="273"/>
      <c r="E139" s="42"/>
      <c r="F139" s="187"/>
      <c r="G139" s="44"/>
      <c r="H139" s="94"/>
      <c r="I139" s="334">
        <v>45771.0</v>
      </c>
      <c r="J139" s="334">
        <v>46137.0</v>
      </c>
      <c r="K139" s="351"/>
      <c r="L139" s="325"/>
      <c r="M139" s="325"/>
      <c r="N139" s="60"/>
      <c r="O139" s="60"/>
      <c r="P139" s="60"/>
      <c r="Q139" s="325"/>
      <c r="R139" s="325"/>
      <c r="S139" s="325"/>
      <c r="T139" s="60"/>
      <c r="U139" s="73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</row>
    <row r="140" ht="15.75" customHeight="1">
      <c r="A140" s="273" t="s">
        <v>52</v>
      </c>
      <c r="B140" s="273"/>
      <c r="C140" s="273"/>
      <c r="D140" s="273"/>
      <c r="E140" s="42"/>
      <c r="F140" s="187"/>
      <c r="G140" s="44"/>
      <c r="H140" s="94"/>
      <c r="I140" s="378"/>
      <c r="J140" s="378"/>
      <c r="K140" s="351"/>
      <c r="L140" s="359"/>
      <c r="M140" s="324" t="s">
        <v>725</v>
      </c>
      <c r="N140" s="359"/>
      <c r="O140" s="359"/>
      <c r="P140" s="359"/>
      <c r="Q140" s="359"/>
      <c r="R140" s="359"/>
      <c r="S140" s="359"/>
      <c r="T140" s="60"/>
      <c r="U140" s="73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</row>
    <row r="141" ht="15.75" customHeight="1">
      <c r="A141" s="273" t="s">
        <v>52</v>
      </c>
      <c r="B141" s="273"/>
      <c r="C141" s="273"/>
      <c r="D141" s="273"/>
      <c r="E141" s="42"/>
      <c r="F141" s="187"/>
      <c r="G141" s="44"/>
      <c r="H141" s="94"/>
      <c r="I141" s="378"/>
      <c r="J141" s="378"/>
      <c r="K141" s="351"/>
      <c r="L141" s="359"/>
      <c r="M141" s="359"/>
      <c r="N141" s="359"/>
      <c r="O141" s="359"/>
      <c r="P141" s="359"/>
      <c r="Q141" s="359"/>
      <c r="R141" s="359"/>
      <c r="S141" s="359"/>
      <c r="T141" s="60"/>
      <c r="U141" s="73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</row>
    <row r="142" ht="15.75" customHeight="1">
      <c r="A142" s="273" t="s">
        <v>52</v>
      </c>
      <c r="B142" s="273"/>
      <c r="C142" s="273"/>
      <c r="D142" s="273"/>
      <c r="E142" s="42"/>
      <c r="F142" s="187"/>
      <c r="G142" s="44"/>
      <c r="H142" s="94"/>
      <c r="I142" s="378"/>
      <c r="J142" s="378"/>
      <c r="K142" s="351"/>
      <c r="L142" s="359"/>
      <c r="M142" s="359"/>
      <c r="N142" s="359"/>
      <c r="O142" s="359"/>
      <c r="P142" s="359"/>
      <c r="Q142" s="359"/>
      <c r="R142" s="359"/>
      <c r="S142" s="359"/>
      <c r="T142" s="60"/>
      <c r="U142" s="73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</row>
    <row r="143" ht="15.75" customHeight="1">
      <c r="A143" s="273" t="s">
        <v>52</v>
      </c>
      <c r="B143" s="273"/>
      <c r="C143" s="273"/>
      <c r="D143" s="273"/>
      <c r="E143" s="42"/>
      <c r="F143" s="187"/>
      <c r="G143" s="44"/>
      <c r="H143" s="94"/>
      <c r="I143" s="378"/>
      <c r="J143" s="378"/>
      <c r="K143" s="351"/>
      <c r="L143" s="359"/>
      <c r="M143" s="359"/>
      <c r="N143" s="359"/>
      <c r="O143" s="359"/>
      <c r="P143" s="359"/>
      <c r="Q143" s="359"/>
      <c r="R143" s="359"/>
      <c r="S143" s="359"/>
      <c r="T143" s="60"/>
      <c r="U143" s="73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</row>
    <row r="144" ht="15.75" customHeight="1">
      <c r="A144" s="273" t="s">
        <v>52</v>
      </c>
      <c r="B144" s="273" t="s">
        <v>48</v>
      </c>
      <c r="C144" s="273" t="s">
        <v>723</v>
      </c>
      <c r="D144" s="273" t="s">
        <v>51</v>
      </c>
      <c r="E144" s="42" t="s">
        <v>505</v>
      </c>
      <c r="F144" s="52" t="s">
        <v>706</v>
      </c>
      <c r="G144" s="53">
        <v>6.39173295753E11</v>
      </c>
      <c r="H144" s="94" t="s">
        <v>83</v>
      </c>
      <c r="I144" s="346"/>
      <c r="J144" s="346"/>
      <c r="K144" s="347"/>
      <c r="L144" s="332"/>
      <c r="M144" s="332"/>
      <c r="N144" s="333" t="s">
        <v>723</v>
      </c>
      <c r="O144" s="344" t="s">
        <v>724</v>
      </c>
      <c r="P144" s="333" t="s">
        <v>723</v>
      </c>
      <c r="Q144" s="332"/>
      <c r="R144" s="332"/>
      <c r="S144" s="332"/>
      <c r="T144" s="370"/>
      <c r="U144" s="371"/>
      <c r="V144" s="370"/>
      <c r="W144" s="370"/>
      <c r="X144" s="370"/>
      <c r="Y144" s="370"/>
      <c r="Z144" s="370"/>
      <c r="AA144" s="370"/>
      <c r="AB144" s="370"/>
      <c r="AC144" s="370"/>
      <c r="AD144" s="370"/>
      <c r="AE144" s="370"/>
      <c r="AF144" s="370"/>
      <c r="AG144" s="370"/>
      <c r="AH144" s="370"/>
      <c r="AI144" s="370"/>
      <c r="AJ144" s="370"/>
      <c r="AK144" s="370"/>
      <c r="AL144" s="37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</row>
    <row r="145" ht="15.75" customHeight="1">
      <c r="A145" s="273" t="s">
        <v>52</v>
      </c>
      <c r="B145" s="273" t="s">
        <v>48</v>
      </c>
      <c r="C145" s="273" t="s">
        <v>725</v>
      </c>
      <c r="D145" s="273" t="s">
        <v>51</v>
      </c>
      <c r="E145" s="42" t="s">
        <v>505</v>
      </c>
      <c r="F145" s="52" t="s">
        <v>706</v>
      </c>
      <c r="G145" s="53">
        <v>6.39173295753E11</v>
      </c>
      <c r="H145" s="94" t="s">
        <v>83</v>
      </c>
      <c r="I145" s="334">
        <v>45406.0</v>
      </c>
      <c r="J145" s="334">
        <v>45951.0</v>
      </c>
      <c r="K145" s="351"/>
      <c r="L145" s="325"/>
      <c r="M145" s="325"/>
      <c r="N145" s="337" t="s">
        <v>725</v>
      </c>
      <c r="O145" s="338" t="s">
        <v>726</v>
      </c>
      <c r="P145" s="337" t="s">
        <v>725</v>
      </c>
      <c r="Q145" s="325"/>
      <c r="R145" s="325"/>
      <c r="S145" s="325"/>
      <c r="T145" s="60"/>
      <c r="U145" s="73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</row>
    <row r="146" ht="15.75" customHeight="1">
      <c r="A146" s="273" t="s">
        <v>52</v>
      </c>
      <c r="B146" s="273" t="s">
        <v>48</v>
      </c>
      <c r="C146" s="273" t="s">
        <v>795</v>
      </c>
      <c r="D146" s="273" t="s">
        <v>87</v>
      </c>
      <c r="E146" s="42" t="s">
        <v>796</v>
      </c>
      <c r="F146" s="52" t="s">
        <v>797</v>
      </c>
      <c r="G146" s="53">
        <v>6.39778530017E11</v>
      </c>
      <c r="H146" s="94" t="s">
        <v>83</v>
      </c>
      <c r="I146" s="379">
        <v>45779.0</v>
      </c>
      <c r="J146" s="378">
        <v>46144.0</v>
      </c>
      <c r="K146" s="351"/>
      <c r="L146" s="380" t="s">
        <v>835</v>
      </c>
      <c r="M146" s="333" t="s">
        <v>711</v>
      </c>
      <c r="N146" s="333" t="s">
        <v>795</v>
      </c>
      <c r="O146" s="381" t="s">
        <v>801</v>
      </c>
      <c r="P146" s="370"/>
      <c r="Q146" s="370"/>
      <c r="R146" s="370"/>
      <c r="S146" s="370"/>
      <c r="T146" s="370"/>
      <c r="U146" s="371"/>
      <c r="V146" s="370"/>
      <c r="W146" s="370"/>
      <c r="X146" s="370"/>
      <c r="Y146" s="370"/>
      <c r="Z146" s="370"/>
      <c r="AA146" s="370"/>
      <c r="AB146" s="370"/>
      <c r="AC146" s="370"/>
      <c r="AD146" s="370"/>
      <c r="AE146" s="370"/>
      <c r="AF146" s="370"/>
      <c r="AG146" s="370"/>
      <c r="AH146" s="370"/>
      <c r="AI146" s="370"/>
      <c r="AJ146" s="370"/>
      <c r="AK146" s="370"/>
      <c r="AL146" s="37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</row>
    <row r="147" ht="15.75" customHeight="1">
      <c r="A147" s="273" t="s">
        <v>52</v>
      </c>
      <c r="B147" s="273" t="s">
        <v>422</v>
      </c>
      <c r="C147" s="359" t="s">
        <v>838</v>
      </c>
      <c r="D147" s="359" t="s">
        <v>72</v>
      </c>
      <c r="E147" s="45"/>
      <c r="F147" s="187"/>
      <c r="G147" s="53"/>
      <c r="H147" s="45"/>
      <c r="I147" s="378"/>
      <c r="J147" s="378"/>
      <c r="K147" s="351"/>
      <c r="L147" s="382"/>
      <c r="M147" s="332"/>
      <c r="N147" s="60"/>
      <c r="O147" s="359"/>
      <c r="P147" s="359"/>
      <c r="Q147" s="359"/>
      <c r="R147" s="359"/>
      <c r="S147" s="359"/>
      <c r="T147" s="359"/>
      <c r="U147" s="373"/>
      <c r="V147" s="359"/>
      <c r="W147" s="359"/>
      <c r="X147" s="359"/>
      <c r="Y147" s="359"/>
      <c r="Z147" s="359"/>
      <c r="AA147" s="359"/>
      <c r="AB147" s="359"/>
      <c r="AC147" s="359"/>
      <c r="AD147" s="359"/>
      <c r="AE147" s="359"/>
      <c r="AF147" s="359"/>
      <c r="AG147" s="359"/>
      <c r="AH147" s="359"/>
      <c r="AI147" s="359"/>
      <c r="AJ147" s="359"/>
      <c r="AK147" s="359"/>
      <c r="AL147" s="359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</row>
    <row r="148" ht="15.75" customHeight="1">
      <c r="A148" s="273" t="s">
        <v>52</v>
      </c>
      <c r="B148" s="273" t="s">
        <v>48</v>
      </c>
      <c r="C148" s="273" t="s">
        <v>749</v>
      </c>
      <c r="D148" s="273" t="s">
        <v>72</v>
      </c>
      <c r="E148" s="42" t="s">
        <v>839</v>
      </c>
      <c r="F148" s="74" t="s">
        <v>751</v>
      </c>
      <c r="G148" s="53"/>
      <c r="H148" s="94" t="s">
        <v>83</v>
      </c>
      <c r="I148" s="378">
        <v>45474.0</v>
      </c>
      <c r="J148" s="378">
        <v>45838.0</v>
      </c>
      <c r="K148" s="351"/>
      <c r="L148" s="382"/>
      <c r="M148" s="337"/>
      <c r="N148" s="337" t="s">
        <v>749</v>
      </c>
      <c r="O148" s="381" t="s">
        <v>753</v>
      </c>
      <c r="P148" s="359"/>
      <c r="Q148" s="359"/>
      <c r="R148" s="359"/>
      <c r="S148" s="359"/>
      <c r="T148" s="359"/>
      <c r="U148" s="373"/>
      <c r="V148" s="359"/>
      <c r="W148" s="359"/>
      <c r="X148" s="359"/>
      <c r="Y148" s="359"/>
      <c r="Z148" s="359"/>
      <c r="AA148" s="359"/>
      <c r="AB148" s="359"/>
      <c r="AC148" s="359"/>
      <c r="AD148" s="359"/>
      <c r="AE148" s="359"/>
      <c r="AF148" s="359"/>
      <c r="AG148" s="359"/>
      <c r="AH148" s="359"/>
      <c r="AI148" s="359"/>
      <c r="AJ148" s="359"/>
      <c r="AK148" s="359"/>
      <c r="AL148" s="359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</row>
    <row r="149" ht="15.75" customHeight="1">
      <c r="A149" s="273" t="s">
        <v>52</v>
      </c>
      <c r="B149" s="273" t="s">
        <v>48</v>
      </c>
      <c r="C149" s="273" t="s">
        <v>712</v>
      </c>
      <c r="D149" s="273" t="s">
        <v>51</v>
      </c>
      <c r="E149" s="42" t="s">
        <v>505</v>
      </c>
      <c r="F149" s="52" t="s">
        <v>706</v>
      </c>
      <c r="G149" s="53">
        <v>6.39173295753E11</v>
      </c>
      <c r="H149" s="94" t="s">
        <v>83</v>
      </c>
      <c r="I149" s="379">
        <v>45505.0</v>
      </c>
      <c r="J149" s="378">
        <v>45870.0</v>
      </c>
      <c r="K149" s="351"/>
      <c r="L149" s="383" t="s">
        <v>836</v>
      </c>
      <c r="M149" s="333"/>
      <c r="N149" s="333" t="s">
        <v>712</v>
      </c>
      <c r="O149" s="381" t="s">
        <v>714</v>
      </c>
      <c r="P149" s="374"/>
      <c r="Q149" s="374"/>
      <c r="R149" s="374"/>
      <c r="S149" s="374"/>
      <c r="T149" s="370"/>
      <c r="U149" s="371"/>
      <c r="V149" s="370"/>
      <c r="W149" s="370"/>
      <c r="X149" s="370"/>
      <c r="Y149" s="370"/>
      <c r="Z149" s="370"/>
      <c r="AA149" s="370"/>
      <c r="AB149" s="370"/>
      <c r="AC149" s="370"/>
      <c r="AD149" s="370"/>
      <c r="AE149" s="370"/>
      <c r="AF149" s="370"/>
      <c r="AG149" s="370"/>
      <c r="AH149" s="370"/>
      <c r="AI149" s="370"/>
      <c r="AJ149" s="370"/>
      <c r="AK149" s="370"/>
      <c r="AL149" s="37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</row>
    <row r="150" ht="15.75" customHeight="1">
      <c r="A150" s="273" t="s">
        <v>52</v>
      </c>
      <c r="B150" s="273" t="s">
        <v>48</v>
      </c>
      <c r="C150" s="273" t="s">
        <v>727</v>
      </c>
      <c r="D150" s="273" t="s">
        <v>51</v>
      </c>
      <c r="E150" s="42" t="s">
        <v>505</v>
      </c>
      <c r="F150" s="52" t="s">
        <v>706</v>
      </c>
      <c r="G150" s="53">
        <v>6.39173295753E11</v>
      </c>
      <c r="H150" s="94" t="s">
        <v>83</v>
      </c>
      <c r="I150" s="379">
        <v>45505.0</v>
      </c>
      <c r="J150" s="378">
        <v>45870.0</v>
      </c>
      <c r="K150" s="351"/>
      <c r="L150" s="380" t="s">
        <v>836</v>
      </c>
      <c r="M150" s="337"/>
      <c r="N150" s="337" t="s">
        <v>727</v>
      </c>
      <c r="O150" s="381" t="s">
        <v>730</v>
      </c>
      <c r="P150" s="370"/>
      <c r="Q150" s="370"/>
      <c r="R150" s="370"/>
      <c r="S150" s="370"/>
      <c r="T150" s="359"/>
      <c r="U150" s="373"/>
      <c r="V150" s="359"/>
      <c r="W150" s="359"/>
      <c r="X150" s="359"/>
      <c r="Y150" s="359"/>
      <c r="Z150" s="359"/>
      <c r="AA150" s="359"/>
      <c r="AB150" s="359"/>
      <c r="AC150" s="359"/>
      <c r="AD150" s="359"/>
      <c r="AE150" s="359"/>
      <c r="AF150" s="359"/>
      <c r="AG150" s="359"/>
      <c r="AH150" s="359"/>
      <c r="AI150" s="359"/>
      <c r="AJ150" s="359"/>
      <c r="AK150" s="359"/>
      <c r="AL150" s="359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</row>
    <row r="151" ht="15.75" customHeight="1">
      <c r="A151" s="273" t="s">
        <v>52</v>
      </c>
      <c r="B151" s="273" t="s">
        <v>48</v>
      </c>
      <c r="C151" s="273" t="s">
        <v>743</v>
      </c>
      <c r="D151" s="273" t="s">
        <v>72</v>
      </c>
      <c r="E151" s="42" t="s">
        <v>744</v>
      </c>
      <c r="F151" s="52" t="s">
        <v>745</v>
      </c>
      <c r="G151" s="53">
        <v>6.39182149178E11</v>
      </c>
      <c r="H151" s="94" t="s">
        <v>83</v>
      </c>
      <c r="I151" s="379">
        <v>45506.0</v>
      </c>
      <c r="J151" s="378">
        <v>45871.0</v>
      </c>
      <c r="K151" s="351"/>
      <c r="L151" s="380" t="s">
        <v>747</v>
      </c>
      <c r="M151" s="333"/>
      <c r="N151" s="333" t="s">
        <v>743</v>
      </c>
      <c r="O151" s="381" t="s">
        <v>748</v>
      </c>
      <c r="P151" s="370"/>
      <c r="Q151" s="370"/>
      <c r="R151" s="370"/>
      <c r="S151" s="370"/>
      <c r="T151" s="359"/>
      <c r="U151" s="373"/>
      <c r="V151" s="359"/>
      <c r="W151" s="359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</row>
    <row r="152" ht="15.75" customHeight="1">
      <c r="A152" s="273" t="s">
        <v>52</v>
      </c>
      <c r="B152" s="273" t="s">
        <v>48</v>
      </c>
      <c r="C152" s="273" t="s">
        <v>783</v>
      </c>
      <c r="D152" s="273" t="s">
        <v>72</v>
      </c>
      <c r="E152" s="42" t="s">
        <v>784</v>
      </c>
      <c r="F152" s="52" t="s">
        <v>785</v>
      </c>
      <c r="G152" s="53">
        <v>6.39178305827E11</v>
      </c>
      <c r="H152" s="94" t="s">
        <v>83</v>
      </c>
      <c r="I152" s="378">
        <v>45523.0</v>
      </c>
      <c r="J152" s="378">
        <v>45888.0</v>
      </c>
      <c r="K152" s="351"/>
      <c r="L152" s="380" t="s">
        <v>788</v>
      </c>
      <c r="M152" s="337"/>
      <c r="N152" s="337" t="s">
        <v>783</v>
      </c>
      <c r="O152" s="381" t="s">
        <v>789</v>
      </c>
      <c r="P152" s="370"/>
      <c r="Q152" s="370"/>
      <c r="R152" s="370"/>
      <c r="S152" s="370"/>
      <c r="T152" s="332"/>
      <c r="U152" s="345"/>
      <c r="V152" s="332"/>
      <c r="W152" s="332"/>
      <c r="X152" s="332"/>
      <c r="Y152" s="332"/>
      <c r="Z152" s="332"/>
      <c r="AA152" s="332"/>
      <c r="AB152" s="332"/>
      <c r="AC152" s="332"/>
      <c r="AD152" s="332"/>
      <c r="AE152" s="332"/>
      <c r="AF152" s="332"/>
      <c r="AG152" s="332"/>
      <c r="AH152" s="332"/>
      <c r="AI152" s="332"/>
      <c r="AJ152" s="332"/>
      <c r="AK152" s="332"/>
      <c r="AL152" s="332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</row>
    <row r="153" ht="15.75" customHeight="1">
      <c r="A153" s="273" t="s">
        <v>52</v>
      </c>
      <c r="B153" s="273" t="s">
        <v>48</v>
      </c>
      <c r="C153" s="273" t="s">
        <v>754</v>
      </c>
      <c r="D153" s="273" t="s">
        <v>72</v>
      </c>
      <c r="E153" s="42" t="s">
        <v>161</v>
      </c>
      <c r="F153" s="149" t="s">
        <v>162</v>
      </c>
      <c r="G153" s="53"/>
      <c r="H153" s="94" t="s">
        <v>83</v>
      </c>
      <c r="I153" s="378"/>
      <c r="J153" s="378"/>
      <c r="K153" s="351"/>
      <c r="L153" s="382"/>
      <c r="M153" s="333"/>
      <c r="N153" s="333" t="s">
        <v>754</v>
      </c>
      <c r="O153" s="381" t="s">
        <v>755</v>
      </c>
      <c r="P153" s="359"/>
      <c r="Q153" s="359"/>
      <c r="R153" s="359"/>
      <c r="S153" s="359"/>
      <c r="T153" s="325"/>
      <c r="U153" s="340"/>
      <c r="V153" s="325"/>
      <c r="W153" s="325"/>
      <c r="X153" s="325"/>
      <c r="Y153" s="325"/>
      <c r="Z153" s="325"/>
      <c r="AA153" s="325"/>
      <c r="AB153" s="325"/>
      <c r="AC153" s="325"/>
      <c r="AD153" s="325"/>
      <c r="AE153" s="325"/>
      <c r="AF153" s="325"/>
      <c r="AG153" s="325"/>
      <c r="AH153" s="325"/>
      <c r="AI153" s="325"/>
      <c r="AJ153" s="325"/>
      <c r="AK153" s="325"/>
      <c r="AL153" s="325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</row>
    <row r="154" ht="15.75" customHeight="1">
      <c r="A154" s="273" t="s">
        <v>52</v>
      </c>
      <c r="B154" s="273" t="s">
        <v>48</v>
      </c>
      <c r="C154" s="273" t="s">
        <v>756</v>
      </c>
      <c r="D154" s="273" t="s">
        <v>72</v>
      </c>
      <c r="E154" s="42" t="s">
        <v>757</v>
      </c>
      <c r="F154" s="52" t="s">
        <v>758</v>
      </c>
      <c r="G154" s="53">
        <v>6.3939513292E11</v>
      </c>
      <c r="H154" s="94" t="s">
        <v>83</v>
      </c>
      <c r="I154" s="379">
        <v>45406.0</v>
      </c>
      <c r="J154" s="378">
        <v>45951.0</v>
      </c>
      <c r="K154" s="351"/>
      <c r="L154" s="382"/>
      <c r="M154" s="337"/>
      <c r="N154" s="337" t="s">
        <v>756</v>
      </c>
      <c r="O154" s="381" t="s">
        <v>761</v>
      </c>
      <c r="P154" s="359"/>
      <c r="Q154" s="359"/>
      <c r="R154" s="359"/>
      <c r="S154" s="359"/>
      <c r="T154" s="332"/>
      <c r="U154" s="345"/>
      <c r="V154" s="332"/>
      <c r="W154" s="332"/>
      <c r="X154" s="332"/>
      <c r="Y154" s="332"/>
      <c r="Z154" s="332"/>
      <c r="AA154" s="332"/>
      <c r="AB154" s="332"/>
      <c r="AC154" s="332"/>
      <c r="AD154" s="332"/>
      <c r="AE154" s="332"/>
      <c r="AF154" s="332"/>
      <c r="AG154" s="332"/>
      <c r="AH154" s="332"/>
      <c r="AI154" s="332"/>
      <c r="AJ154" s="332"/>
      <c r="AK154" s="332"/>
      <c r="AL154" s="332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</row>
    <row r="155" ht="15.75" customHeight="1">
      <c r="A155" s="273" t="s">
        <v>52</v>
      </c>
      <c r="B155" s="273" t="s">
        <v>48</v>
      </c>
      <c r="C155" s="273" t="s">
        <v>802</v>
      </c>
      <c r="D155" s="273" t="s">
        <v>72</v>
      </c>
      <c r="E155" s="42" t="s">
        <v>803</v>
      </c>
      <c r="F155" s="52" t="s">
        <v>804</v>
      </c>
      <c r="G155" s="53">
        <v>6.39279691038E11</v>
      </c>
      <c r="H155" s="94" t="s">
        <v>83</v>
      </c>
      <c r="I155" s="378">
        <v>45628.0</v>
      </c>
      <c r="J155" s="378">
        <v>45993.0</v>
      </c>
      <c r="K155" s="351"/>
      <c r="L155" s="380" t="s">
        <v>806</v>
      </c>
      <c r="M155" s="333"/>
      <c r="N155" s="333" t="s">
        <v>802</v>
      </c>
      <c r="O155" s="381" t="s">
        <v>807</v>
      </c>
      <c r="P155" s="370"/>
      <c r="Q155" s="370"/>
      <c r="R155" s="370"/>
      <c r="S155" s="370"/>
      <c r="T155" s="325"/>
      <c r="U155" s="340"/>
      <c r="V155" s="325"/>
      <c r="W155" s="325"/>
      <c r="X155" s="325"/>
      <c r="Y155" s="325"/>
      <c r="Z155" s="325"/>
      <c r="AA155" s="325"/>
      <c r="AB155" s="325"/>
      <c r="AC155" s="325"/>
      <c r="AD155" s="325"/>
      <c r="AE155" s="325"/>
      <c r="AF155" s="325"/>
      <c r="AG155" s="325"/>
      <c r="AH155" s="325"/>
      <c r="AI155" s="325"/>
      <c r="AJ155" s="325"/>
      <c r="AK155" s="325"/>
      <c r="AL155" s="325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</row>
    <row r="156" ht="15.75" customHeight="1">
      <c r="A156" s="273" t="s">
        <v>52</v>
      </c>
      <c r="B156" s="273" t="s">
        <v>48</v>
      </c>
      <c r="C156" s="273" t="s">
        <v>776</v>
      </c>
      <c r="D156" s="273" t="s">
        <v>72</v>
      </c>
      <c r="E156" s="42" t="s">
        <v>777</v>
      </c>
      <c r="F156" s="187" t="s">
        <v>778</v>
      </c>
      <c r="G156" s="44"/>
      <c r="H156" s="94" t="s">
        <v>58</v>
      </c>
      <c r="I156" s="346"/>
      <c r="J156" s="346"/>
      <c r="K156" s="347"/>
      <c r="L156" s="332"/>
      <c r="M156" s="332"/>
      <c r="N156" s="337" t="s">
        <v>776</v>
      </c>
      <c r="O156" s="338" t="s">
        <v>780</v>
      </c>
      <c r="P156" s="337" t="s">
        <v>776</v>
      </c>
      <c r="Q156" s="332"/>
      <c r="R156" s="332"/>
      <c r="S156" s="332"/>
      <c r="T156" s="359"/>
      <c r="U156" s="373"/>
      <c r="V156" s="359"/>
      <c r="W156" s="359"/>
      <c r="X156" s="359"/>
      <c r="Y156" s="359"/>
      <c r="Z156" s="359"/>
      <c r="AA156" s="359"/>
      <c r="AB156" s="359"/>
      <c r="AC156" s="359"/>
      <c r="AD156" s="359"/>
      <c r="AE156" s="359"/>
      <c r="AF156" s="359"/>
      <c r="AG156" s="359"/>
      <c r="AH156" s="359"/>
      <c r="AI156" s="359"/>
      <c r="AJ156" s="359"/>
      <c r="AK156" s="359"/>
      <c r="AL156" s="359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</row>
    <row r="157">
      <c r="A157" s="273" t="s">
        <v>52</v>
      </c>
      <c r="B157" s="273" t="s">
        <v>48</v>
      </c>
      <c r="C157" s="273" t="s">
        <v>737</v>
      </c>
      <c r="D157" s="273" t="s">
        <v>87</v>
      </c>
      <c r="E157" s="42" t="s">
        <v>738</v>
      </c>
      <c r="F157" s="52" t="s">
        <v>739</v>
      </c>
      <c r="G157" s="53"/>
      <c r="H157" s="94" t="s">
        <v>83</v>
      </c>
      <c r="I157" s="378">
        <v>45654.0</v>
      </c>
      <c r="J157" s="378">
        <v>46019.0</v>
      </c>
      <c r="K157" s="351"/>
      <c r="L157" s="380" t="s">
        <v>741</v>
      </c>
      <c r="M157" s="333"/>
      <c r="N157" s="333" t="s">
        <v>737</v>
      </c>
      <c r="O157" s="381" t="s">
        <v>742</v>
      </c>
      <c r="P157" s="370"/>
      <c r="Q157" s="370"/>
      <c r="R157" s="370"/>
      <c r="S157" s="370"/>
      <c r="T157" s="332"/>
      <c r="U157" s="345"/>
      <c r="V157" s="332"/>
      <c r="W157" s="332"/>
      <c r="X157" s="332"/>
      <c r="Y157" s="332"/>
      <c r="Z157" s="332"/>
      <c r="AA157" s="332"/>
      <c r="AB157" s="332"/>
      <c r="AC157" s="332"/>
      <c r="AD157" s="332"/>
      <c r="AE157" s="332"/>
      <c r="AF157" s="332"/>
      <c r="AG157" s="332"/>
      <c r="AH157" s="332"/>
      <c r="AI157" s="332"/>
      <c r="AJ157" s="332"/>
      <c r="AK157" s="332"/>
      <c r="AL157" s="332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</row>
    <row r="158" ht="15.75" customHeight="1">
      <c r="A158" s="273" t="s">
        <v>52</v>
      </c>
      <c r="B158" s="273" t="s">
        <v>48</v>
      </c>
      <c r="C158" s="273" t="s">
        <v>762</v>
      </c>
      <c r="D158" s="273" t="s">
        <v>72</v>
      </c>
      <c r="E158" s="42" t="s">
        <v>763</v>
      </c>
      <c r="F158" s="52" t="s">
        <v>764</v>
      </c>
      <c r="G158" s="53"/>
      <c r="H158" s="42" t="s">
        <v>83</v>
      </c>
      <c r="I158" s="378">
        <v>45675.0</v>
      </c>
      <c r="J158" s="378">
        <v>46039.0</v>
      </c>
      <c r="K158" s="351"/>
      <c r="L158" s="359" t="s">
        <v>711</v>
      </c>
      <c r="M158" s="337"/>
      <c r="N158" s="337" t="s">
        <v>762</v>
      </c>
      <c r="O158" s="381" t="s">
        <v>766</v>
      </c>
      <c r="P158" s="359"/>
      <c r="Q158" s="359"/>
      <c r="R158" s="359"/>
      <c r="S158" s="359"/>
      <c r="T158" s="325"/>
      <c r="U158" s="340"/>
      <c r="V158" s="325"/>
      <c r="W158" s="325"/>
      <c r="X158" s="325"/>
      <c r="Y158" s="325"/>
      <c r="Z158" s="325"/>
      <c r="AA158" s="325"/>
      <c r="AB158" s="325"/>
      <c r="AC158" s="325"/>
      <c r="AD158" s="325"/>
      <c r="AE158" s="325"/>
      <c r="AF158" s="325"/>
      <c r="AG158" s="325"/>
      <c r="AH158" s="325"/>
      <c r="AI158" s="325"/>
      <c r="AJ158" s="325"/>
      <c r="AK158" s="325"/>
      <c r="AL158" s="325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</row>
    <row r="159" ht="15.75" customHeight="1">
      <c r="A159" s="273" t="s">
        <v>52</v>
      </c>
      <c r="B159" s="273" t="s">
        <v>48</v>
      </c>
      <c r="C159" s="273" t="s">
        <v>774</v>
      </c>
      <c r="D159" s="273" t="s">
        <v>72</v>
      </c>
      <c r="E159" s="42" t="s">
        <v>641</v>
      </c>
      <c r="F159" s="187"/>
      <c r="G159" s="44"/>
      <c r="H159" s="94" t="s">
        <v>58</v>
      </c>
      <c r="I159" s="378"/>
      <c r="J159" s="378"/>
      <c r="K159" s="351"/>
      <c r="L159" s="359"/>
      <c r="M159" s="333"/>
      <c r="N159" s="344" t="s">
        <v>774</v>
      </c>
      <c r="O159" s="381" t="s">
        <v>775</v>
      </c>
      <c r="P159" s="359"/>
      <c r="Q159" s="359"/>
      <c r="R159" s="359"/>
      <c r="S159" s="359"/>
      <c r="T159" s="332"/>
      <c r="U159" s="345"/>
      <c r="V159" s="332"/>
      <c r="W159" s="332"/>
      <c r="X159" s="332"/>
      <c r="Y159" s="332"/>
      <c r="Z159" s="332"/>
      <c r="AA159" s="332"/>
      <c r="AB159" s="332"/>
      <c r="AC159" s="332"/>
      <c r="AD159" s="332"/>
      <c r="AE159" s="332"/>
      <c r="AF159" s="332"/>
      <c r="AG159" s="332"/>
      <c r="AH159" s="332"/>
      <c r="AI159" s="332"/>
      <c r="AJ159" s="332"/>
      <c r="AK159" s="332"/>
      <c r="AL159" s="332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</row>
    <row r="160" ht="15.75" customHeight="1">
      <c r="A160" s="273" t="s">
        <v>52</v>
      </c>
      <c r="B160" s="273" t="s">
        <v>422</v>
      </c>
      <c r="C160" s="60" t="s">
        <v>840</v>
      </c>
      <c r="D160" s="273" t="s">
        <v>72</v>
      </c>
      <c r="E160" s="42" t="s">
        <v>505</v>
      </c>
      <c r="F160" s="52" t="s">
        <v>706</v>
      </c>
      <c r="G160" s="53">
        <v>6.39173295753E11</v>
      </c>
      <c r="H160" s="94" t="s">
        <v>83</v>
      </c>
      <c r="I160" s="378"/>
      <c r="J160" s="378"/>
      <c r="K160" s="351"/>
      <c r="L160" s="60"/>
      <c r="M160" s="60"/>
      <c r="N160" s="60"/>
      <c r="O160" s="60"/>
      <c r="P160" s="60"/>
      <c r="Q160" s="60"/>
      <c r="R160" s="60"/>
      <c r="S160" s="60"/>
      <c r="T160" s="60"/>
      <c r="U160" s="73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</row>
    <row r="161" ht="15.0" customHeight="1">
      <c r="A161" s="273" t="s">
        <v>52</v>
      </c>
      <c r="B161" s="273" t="s">
        <v>422</v>
      </c>
      <c r="C161" s="60" t="s">
        <v>506</v>
      </c>
      <c r="D161" s="273" t="s">
        <v>72</v>
      </c>
      <c r="E161" s="42" t="s">
        <v>505</v>
      </c>
      <c r="F161" s="52" t="s">
        <v>706</v>
      </c>
      <c r="G161" s="53">
        <v>6.39173295753E11</v>
      </c>
      <c r="H161" s="94" t="s">
        <v>83</v>
      </c>
      <c r="I161" s="378"/>
      <c r="J161" s="378"/>
      <c r="K161" s="351"/>
      <c r="L161" s="60"/>
      <c r="M161" s="60"/>
      <c r="N161" s="60"/>
      <c r="O161" s="60"/>
      <c r="P161" s="60"/>
      <c r="Q161" s="60"/>
      <c r="R161" s="60"/>
      <c r="S161" s="60"/>
      <c r="T161" s="60"/>
      <c r="U161" s="73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</row>
    <row r="162" ht="15.75" customHeight="1">
      <c r="A162" s="273" t="s">
        <v>52</v>
      </c>
      <c r="B162" s="273" t="s">
        <v>422</v>
      </c>
      <c r="C162" s="60" t="s">
        <v>507</v>
      </c>
      <c r="D162" s="273" t="s">
        <v>72</v>
      </c>
      <c r="E162" s="42" t="s">
        <v>505</v>
      </c>
      <c r="F162" s="52" t="s">
        <v>706</v>
      </c>
      <c r="G162" s="53">
        <v>6.39173295753E11</v>
      </c>
      <c r="H162" s="94" t="s">
        <v>83</v>
      </c>
      <c r="I162" s="378"/>
      <c r="J162" s="378"/>
      <c r="K162" s="351"/>
      <c r="L162" s="60"/>
      <c r="M162" s="60"/>
      <c r="N162" s="60"/>
      <c r="O162" s="60"/>
      <c r="P162" s="60"/>
      <c r="Q162" s="60"/>
      <c r="R162" s="60"/>
      <c r="S162" s="60"/>
      <c r="T162" s="60"/>
      <c r="U162" s="73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</row>
    <row r="163" ht="15.75" customHeight="1">
      <c r="A163" s="273" t="s">
        <v>52</v>
      </c>
      <c r="B163" s="273" t="s">
        <v>422</v>
      </c>
      <c r="C163" s="60" t="s">
        <v>509</v>
      </c>
      <c r="D163" s="273" t="s">
        <v>72</v>
      </c>
      <c r="E163" s="42" t="s">
        <v>505</v>
      </c>
      <c r="F163" s="52" t="s">
        <v>706</v>
      </c>
      <c r="G163" s="53">
        <v>6.39173295753E11</v>
      </c>
      <c r="H163" s="94" t="s">
        <v>83</v>
      </c>
      <c r="I163" s="378"/>
      <c r="J163" s="378"/>
      <c r="K163" s="351"/>
      <c r="L163" s="60"/>
      <c r="M163" s="60"/>
      <c r="N163" s="60"/>
      <c r="O163" s="60"/>
      <c r="P163" s="60"/>
      <c r="Q163" s="60"/>
      <c r="R163" s="60"/>
      <c r="S163" s="60"/>
      <c r="T163" s="60"/>
      <c r="U163" s="73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</row>
    <row r="164" ht="15.75" customHeight="1">
      <c r="A164" s="273" t="s">
        <v>52</v>
      </c>
      <c r="B164" s="273" t="s">
        <v>422</v>
      </c>
      <c r="C164" s="60" t="s">
        <v>841</v>
      </c>
      <c r="D164" s="273"/>
      <c r="E164" s="42"/>
      <c r="F164" s="52"/>
      <c r="G164" s="53"/>
      <c r="H164" s="94"/>
      <c r="I164" s="378"/>
      <c r="J164" s="378"/>
      <c r="K164" s="351"/>
      <c r="L164" s="60"/>
      <c r="M164" s="60"/>
      <c r="N164" s="60"/>
      <c r="O164" s="60"/>
      <c r="P164" s="60"/>
      <c r="Q164" s="60"/>
      <c r="R164" s="60"/>
      <c r="S164" s="60"/>
      <c r="T164" s="60"/>
      <c r="U164" s="73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</row>
    <row r="165" ht="15.75" customHeight="1">
      <c r="A165" s="273" t="s">
        <v>52</v>
      </c>
      <c r="B165" s="273" t="s">
        <v>422</v>
      </c>
      <c r="C165" s="60" t="s">
        <v>842</v>
      </c>
      <c r="D165" s="273"/>
      <c r="E165" s="42"/>
      <c r="F165" s="52"/>
      <c r="G165" s="53"/>
      <c r="H165" s="94"/>
      <c r="I165" s="378"/>
      <c r="J165" s="378"/>
      <c r="K165" s="351"/>
      <c r="L165" s="60"/>
      <c r="M165" s="60"/>
      <c r="N165" s="60"/>
      <c r="O165" s="60"/>
      <c r="P165" s="60"/>
      <c r="Q165" s="60"/>
      <c r="R165" s="60"/>
      <c r="S165" s="60"/>
      <c r="T165" s="60"/>
      <c r="U165" s="73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</row>
    <row r="166" ht="15.75" customHeight="1">
      <c r="A166" s="384"/>
      <c r="B166" s="384"/>
      <c r="C166" s="384"/>
      <c r="D166" s="384"/>
      <c r="E166" s="385"/>
      <c r="F166" s="386"/>
      <c r="G166" s="387"/>
      <c r="H166" s="385"/>
      <c r="I166" s="388"/>
      <c r="J166" s="388"/>
      <c r="K166" s="389"/>
      <c r="L166" s="390"/>
      <c r="M166" s="390"/>
      <c r="N166" s="391"/>
      <c r="O166" s="390"/>
      <c r="P166" s="390"/>
      <c r="Q166" s="390"/>
      <c r="R166" s="390"/>
      <c r="S166" s="390"/>
      <c r="T166" s="392"/>
      <c r="U166" s="370"/>
      <c r="V166" s="370"/>
      <c r="W166" s="370"/>
      <c r="X166" s="370"/>
      <c r="Y166" s="370"/>
      <c r="Z166" s="370"/>
      <c r="AA166" s="370"/>
      <c r="AB166" s="370"/>
      <c r="AC166" s="370"/>
      <c r="AD166" s="370"/>
      <c r="AE166" s="370"/>
      <c r="AF166" s="370"/>
      <c r="AG166" s="370"/>
      <c r="AH166" s="370"/>
      <c r="AI166" s="370"/>
      <c r="AJ166" s="370"/>
      <c r="AK166" s="370"/>
      <c r="AL166" s="37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</row>
    <row r="167" ht="15.75" customHeight="1">
      <c r="A167" s="273"/>
      <c r="B167" s="273"/>
      <c r="C167" s="273"/>
      <c r="D167" s="273"/>
      <c r="E167" s="42"/>
      <c r="F167" s="52"/>
      <c r="G167" s="53"/>
      <c r="H167" s="42"/>
      <c r="I167" s="346"/>
      <c r="J167" s="346"/>
      <c r="K167" s="351"/>
      <c r="L167" s="332"/>
      <c r="M167" s="332"/>
      <c r="N167" s="60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  <c r="AA167" s="332"/>
      <c r="AB167" s="332"/>
      <c r="AC167" s="332"/>
      <c r="AD167" s="332"/>
      <c r="AE167" s="332"/>
      <c r="AF167" s="332"/>
      <c r="AG167" s="332"/>
      <c r="AH167" s="332"/>
      <c r="AI167" s="332"/>
      <c r="AJ167" s="332"/>
      <c r="AK167" s="332"/>
      <c r="AL167" s="332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</row>
    <row r="169" ht="15.75" customHeight="1">
      <c r="A169" s="60"/>
      <c r="B169" s="273"/>
      <c r="C169" s="60"/>
      <c r="D169" s="60"/>
      <c r="E169" s="60"/>
      <c r="F169" s="393"/>
      <c r="G169" s="394"/>
      <c r="H169" s="60"/>
      <c r="I169" s="395"/>
      <c r="J169" s="395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</row>
    <row r="170" ht="15.75" customHeight="1">
      <c r="A170" s="60"/>
      <c r="B170" s="273"/>
      <c r="C170" s="60"/>
      <c r="D170" s="60"/>
      <c r="E170" s="60"/>
      <c r="F170" s="393"/>
      <c r="G170" s="394"/>
      <c r="H170" s="60"/>
      <c r="I170" s="395"/>
      <c r="J170" s="395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</row>
    <row r="210" ht="15.75" customHeight="1">
      <c r="A210" s="60"/>
      <c r="B210" s="60"/>
      <c r="C210" s="60"/>
      <c r="D210" s="60"/>
      <c r="E210" s="60"/>
      <c r="F210" s="393"/>
      <c r="G210" s="394"/>
      <c r="H210" s="60"/>
      <c r="I210" s="395"/>
      <c r="J210" s="395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</row>
    <row r="211" ht="15.75" customHeight="1">
      <c r="A211" s="60"/>
      <c r="B211" s="60"/>
      <c r="C211" s="60"/>
      <c r="D211" s="60"/>
      <c r="E211" s="60"/>
      <c r="F211" s="393"/>
      <c r="G211" s="394"/>
      <c r="H211" s="60"/>
      <c r="I211" s="395"/>
      <c r="J211" s="395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</row>
    <row r="212" ht="15.75" customHeight="1">
      <c r="A212" s="60"/>
      <c r="B212" s="60"/>
      <c r="C212" s="60"/>
      <c r="D212" s="60"/>
      <c r="E212" s="60"/>
      <c r="F212" s="393"/>
      <c r="G212" s="394"/>
      <c r="H212" s="60"/>
      <c r="I212" s="395"/>
      <c r="J212" s="395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</row>
    <row r="213" ht="15.75" customHeight="1">
      <c r="A213" s="60"/>
      <c r="B213" s="60"/>
      <c r="C213" s="60"/>
      <c r="D213" s="60"/>
      <c r="E213" s="60"/>
      <c r="F213" s="393"/>
      <c r="G213" s="394"/>
      <c r="H213" s="60"/>
      <c r="I213" s="395"/>
      <c r="J213" s="395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</row>
    <row r="214" ht="15.75" customHeight="1">
      <c r="A214" s="60"/>
      <c r="B214" s="60"/>
      <c r="C214" s="60"/>
      <c r="D214" s="60"/>
      <c r="E214" s="60"/>
      <c r="F214" s="393"/>
      <c r="G214" s="394"/>
      <c r="H214" s="60"/>
      <c r="I214" s="395"/>
      <c r="J214" s="395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</row>
    <row r="215" ht="15.75" customHeight="1">
      <c r="A215" s="60"/>
      <c r="B215" s="60"/>
      <c r="C215" s="60"/>
      <c r="D215" s="60"/>
      <c r="E215" s="60"/>
      <c r="F215" s="393"/>
      <c r="G215" s="394"/>
      <c r="H215" s="60"/>
      <c r="I215" s="395"/>
      <c r="J215" s="395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</row>
    <row r="216" ht="15.75" customHeight="1">
      <c r="A216" s="60"/>
      <c r="B216" s="60"/>
      <c r="C216" s="60"/>
      <c r="D216" s="60"/>
      <c r="E216" s="60"/>
      <c r="F216" s="393"/>
      <c r="G216" s="394"/>
      <c r="H216" s="60"/>
      <c r="I216" s="395"/>
      <c r="J216" s="395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</row>
    <row r="217" ht="15.75" customHeight="1">
      <c r="A217" s="60"/>
      <c r="B217" s="60"/>
      <c r="C217" s="60"/>
      <c r="D217" s="60"/>
      <c r="E217" s="60"/>
      <c r="F217" s="393"/>
      <c r="G217" s="394"/>
      <c r="H217" s="60"/>
      <c r="I217" s="395"/>
      <c r="J217" s="395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</row>
    <row r="218" ht="15.75" customHeight="1">
      <c r="A218" s="60"/>
      <c r="B218" s="60"/>
      <c r="C218" s="60"/>
      <c r="D218" s="60"/>
      <c r="E218" s="60"/>
      <c r="F218" s="393"/>
      <c r="G218" s="394"/>
      <c r="H218" s="60"/>
      <c r="I218" s="395"/>
      <c r="J218" s="395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</row>
    <row r="219" ht="15.75" customHeight="1">
      <c r="A219" s="60"/>
      <c r="B219" s="60"/>
      <c r="C219" s="60"/>
      <c r="D219" s="60"/>
      <c r="E219" s="60"/>
      <c r="F219" s="393"/>
      <c r="G219" s="394"/>
      <c r="H219" s="60"/>
      <c r="I219" s="395"/>
      <c r="J219" s="395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</row>
    <row r="220" ht="15.75" customHeight="1">
      <c r="A220" s="60"/>
      <c r="B220" s="60"/>
      <c r="C220" s="60"/>
      <c r="D220" s="60"/>
      <c r="E220" s="60"/>
      <c r="F220" s="393"/>
      <c r="G220" s="394"/>
      <c r="H220" s="60"/>
      <c r="I220" s="395"/>
      <c r="J220" s="395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</row>
    <row r="221" ht="15.75" customHeight="1">
      <c r="A221" s="60"/>
      <c r="B221" s="60"/>
      <c r="C221" s="60"/>
      <c r="D221" s="60"/>
      <c r="E221" s="60"/>
      <c r="F221" s="393"/>
      <c r="G221" s="394"/>
      <c r="H221" s="60"/>
      <c r="I221" s="395"/>
      <c r="J221" s="395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</row>
    <row r="222" ht="15.75" customHeight="1">
      <c r="A222" s="60"/>
      <c r="B222" s="60"/>
      <c r="C222" s="60"/>
      <c r="D222" s="60"/>
      <c r="E222" s="60"/>
      <c r="F222" s="393"/>
      <c r="G222" s="394"/>
      <c r="H222" s="60"/>
      <c r="I222" s="395"/>
      <c r="J222" s="395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</row>
    <row r="223" ht="15.75" customHeight="1">
      <c r="A223" s="60"/>
      <c r="B223" s="60"/>
      <c r="C223" s="60"/>
      <c r="D223" s="60"/>
      <c r="E223" s="60"/>
      <c r="F223" s="393"/>
      <c r="G223" s="394"/>
      <c r="H223" s="60"/>
      <c r="I223" s="395"/>
      <c r="J223" s="395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</row>
    <row r="224" ht="15.75" customHeight="1">
      <c r="A224" s="60"/>
      <c r="B224" s="60"/>
      <c r="C224" s="60"/>
      <c r="D224" s="60"/>
      <c r="E224" s="60"/>
      <c r="F224" s="393"/>
      <c r="G224" s="394"/>
      <c r="H224" s="60"/>
      <c r="I224" s="395"/>
      <c r="J224" s="395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</row>
    <row r="225" ht="15.75" customHeight="1">
      <c r="A225" s="60"/>
      <c r="B225" s="60"/>
      <c r="C225" s="60"/>
      <c r="D225" s="60"/>
      <c r="E225" s="60"/>
      <c r="F225" s="393"/>
      <c r="G225" s="394"/>
      <c r="H225" s="60"/>
      <c r="I225" s="395"/>
      <c r="J225" s="395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</row>
    <row r="226" ht="15.75" customHeight="1">
      <c r="A226" s="60"/>
      <c r="B226" s="60"/>
      <c r="C226" s="60"/>
      <c r="D226" s="60"/>
      <c r="E226" s="60"/>
      <c r="F226" s="393"/>
      <c r="G226" s="394"/>
      <c r="H226" s="60"/>
      <c r="I226" s="395"/>
      <c r="J226" s="395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</row>
    <row r="227" ht="15.75" customHeight="1">
      <c r="A227" s="60"/>
      <c r="B227" s="60"/>
      <c r="C227" s="60"/>
      <c r="D227" s="60"/>
      <c r="E227" s="60"/>
      <c r="F227" s="393"/>
      <c r="G227" s="394"/>
      <c r="H227" s="60"/>
      <c r="I227" s="395"/>
      <c r="J227" s="395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</row>
    <row r="228" ht="15.75" customHeight="1">
      <c r="A228" s="60"/>
      <c r="B228" s="60"/>
      <c r="C228" s="60"/>
      <c r="D228" s="60"/>
      <c r="E228" s="60"/>
      <c r="F228" s="393"/>
      <c r="G228" s="394"/>
      <c r="H228" s="60"/>
      <c r="I228" s="395"/>
      <c r="J228" s="395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</row>
    <row r="229" ht="15.75" customHeight="1">
      <c r="A229" s="60"/>
      <c r="B229" s="60"/>
      <c r="C229" s="60"/>
      <c r="D229" s="60"/>
      <c r="E229" s="60"/>
      <c r="F229" s="393"/>
      <c r="G229" s="394"/>
      <c r="H229" s="60"/>
      <c r="I229" s="395"/>
      <c r="J229" s="395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</row>
    <row r="230" ht="15.75" customHeight="1">
      <c r="A230" s="60"/>
      <c r="B230" s="60"/>
      <c r="C230" s="60"/>
      <c r="D230" s="60"/>
      <c r="E230" s="60"/>
      <c r="F230" s="393"/>
      <c r="G230" s="394"/>
      <c r="H230" s="60"/>
      <c r="I230" s="395"/>
      <c r="J230" s="395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</row>
    <row r="231" ht="15.75" customHeight="1">
      <c r="A231" s="60"/>
      <c r="B231" s="60"/>
      <c r="C231" s="60"/>
      <c r="D231" s="60"/>
      <c r="E231" s="60"/>
      <c r="F231" s="393"/>
      <c r="G231" s="394"/>
      <c r="H231" s="60"/>
      <c r="I231" s="395"/>
      <c r="J231" s="395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</row>
    <row r="232" ht="15.75" customHeight="1">
      <c r="A232" s="60"/>
      <c r="B232" s="60"/>
      <c r="C232" s="60"/>
      <c r="D232" s="60"/>
      <c r="E232" s="60"/>
      <c r="F232" s="393"/>
      <c r="G232" s="394"/>
      <c r="H232" s="60"/>
      <c r="I232" s="395"/>
      <c r="J232" s="395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</row>
    <row r="233" ht="15.75" customHeight="1">
      <c r="A233" s="60"/>
      <c r="B233" s="60"/>
      <c r="C233" s="60"/>
      <c r="D233" s="60"/>
      <c r="E233" s="60"/>
      <c r="F233" s="393"/>
      <c r="G233" s="394"/>
      <c r="H233" s="60"/>
      <c r="I233" s="395"/>
      <c r="J233" s="395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</row>
    <row r="234" ht="15.75" customHeight="1">
      <c r="A234" s="60"/>
      <c r="B234" s="60"/>
      <c r="C234" s="60"/>
      <c r="D234" s="60"/>
      <c r="E234" s="60"/>
      <c r="F234" s="393"/>
      <c r="G234" s="394"/>
      <c r="H234" s="60"/>
      <c r="I234" s="395"/>
      <c r="J234" s="395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</row>
    <row r="235" ht="15.75" customHeight="1">
      <c r="A235" s="60"/>
      <c r="B235" s="60"/>
      <c r="C235" s="60"/>
      <c r="D235" s="60"/>
      <c r="E235" s="60"/>
      <c r="F235" s="393"/>
      <c r="G235" s="394"/>
      <c r="H235" s="60"/>
      <c r="I235" s="395"/>
      <c r="J235" s="395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</row>
    <row r="236" ht="15.75" customHeight="1">
      <c r="A236" s="60"/>
      <c r="B236" s="60"/>
      <c r="C236" s="60"/>
      <c r="D236" s="60"/>
      <c r="E236" s="60"/>
      <c r="F236" s="393"/>
      <c r="G236" s="394"/>
      <c r="H236" s="60"/>
      <c r="I236" s="395"/>
      <c r="J236" s="395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</row>
    <row r="237" ht="15.75" customHeight="1">
      <c r="A237" s="60"/>
      <c r="B237" s="60"/>
      <c r="C237" s="60"/>
      <c r="D237" s="60"/>
      <c r="E237" s="60"/>
      <c r="F237" s="393"/>
      <c r="G237" s="394"/>
      <c r="H237" s="60"/>
      <c r="I237" s="395"/>
      <c r="J237" s="395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</row>
    <row r="238" ht="15.75" customHeight="1">
      <c r="A238" s="60"/>
      <c r="B238" s="60"/>
      <c r="C238" s="60"/>
      <c r="D238" s="60"/>
      <c r="E238" s="60"/>
      <c r="F238" s="393"/>
      <c r="G238" s="394"/>
      <c r="H238" s="60"/>
      <c r="I238" s="395"/>
      <c r="J238" s="395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</row>
    <row r="239" ht="15.75" customHeight="1">
      <c r="A239" s="60"/>
      <c r="B239" s="60"/>
      <c r="C239" s="60"/>
      <c r="D239" s="60"/>
      <c r="E239" s="60"/>
      <c r="F239" s="393"/>
      <c r="G239" s="394"/>
      <c r="H239" s="60"/>
      <c r="I239" s="395"/>
      <c r="J239" s="395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</row>
    <row r="240" ht="15.75" customHeight="1">
      <c r="A240" s="60"/>
      <c r="B240" s="60"/>
      <c r="C240" s="60"/>
      <c r="D240" s="60"/>
      <c r="E240" s="60"/>
      <c r="F240" s="393"/>
      <c r="G240" s="394"/>
      <c r="H240" s="60"/>
      <c r="I240" s="395"/>
      <c r="J240" s="395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</row>
    <row r="241" ht="15.75" customHeight="1">
      <c r="A241" s="60"/>
      <c r="B241" s="60"/>
      <c r="C241" s="60"/>
      <c r="D241" s="60"/>
      <c r="E241" s="60"/>
      <c r="F241" s="393"/>
      <c r="G241" s="394"/>
      <c r="H241" s="60"/>
      <c r="I241" s="395"/>
      <c r="J241" s="395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</row>
    <row r="242" ht="15.75" customHeight="1">
      <c r="A242" s="60"/>
      <c r="B242" s="60"/>
      <c r="C242" s="60"/>
      <c r="D242" s="60"/>
      <c r="E242" s="60"/>
      <c r="F242" s="393"/>
      <c r="G242" s="394"/>
      <c r="H242" s="60"/>
      <c r="I242" s="395"/>
      <c r="J242" s="395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</row>
    <row r="243" ht="15.75" customHeight="1">
      <c r="A243" s="60"/>
      <c r="B243" s="60"/>
      <c r="C243" s="60"/>
      <c r="D243" s="60"/>
      <c r="E243" s="60"/>
      <c r="F243" s="393"/>
      <c r="G243" s="394"/>
      <c r="H243" s="60"/>
      <c r="I243" s="395"/>
      <c r="J243" s="395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</row>
    <row r="244" ht="15.75" customHeight="1">
      <c r="A244" s="60"/>
      <c r="B244" s="60"/>
      <c r="C244" s="60"/>
      <c r="D244" s="60"/>
      <c r="E244" s="60"/>
      <c r="F244" s="393"/>
      <c r="G244" s="394"/>
      <c r="H244" s="60"/>
      <c r="I244" s="395"/>
      <c r="J244" s="395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</row>
    <row r="245" ht="15.75" customHeight="1">
      <c r="A245" s="60"/>
      <c r="B245" s="60"/>
      <c r="C245" s="60"/>
      <c r="D245" s="60"/>
      <c r="E245" s="60"/>
      <c r="F245" s="393"/>
      <c r="G245" s="394"/>
      <c r="H245" s="60"/>
      <c r="I245" s="395"/>
      <c r="J245" s="395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</row>
    <row r="246" ht="15.75" customHeight="1">
      <c r="A246" s="60"/>
      <c r="B246" s="60"/>
      <c r="C246" s="60"/>
      <c r="D246" s="60"/>
      <c r="E246" s="60"/>
      <c r="F246" s="393"/>
      <c r="G246" s="394"/>
      <c r="H246" s="60"/>
      <c r="I246" s="395"/>
      <c r="J246" s="395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</row>
    <row r="247" ht="15.75" customHeight="1">
      <c r="A247" s="60"/>
      <c r="B247" s="60"/>
      <c r="C247" s="60"/>
      <c r="D247" s="60"/>
      <c r="E247" s="60"/>
      <c r="F247" s="393"/>
      <c r="G247" s="394"/>
      <c r="H247" s="60"/>
      <c r="I247" s="395"/>
      <c r="J247" s="395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</row>
    <row r="248" ht="15.75" customHeight="1">
      <c r="A248" s="60"/>
      <c r="B248" s="60"/>
      <c r="C248" s="60"/>
      <c r="D248" s="60"/>
      <c r="E248" s="60"/>
      <c r="F248" s="393"/>
      <c r="G248" s="394"/>
      <c r="H248" s="60"/>
      <c r="I248" s="395"/>
      <c r="J248" s="395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</row>
    <row r="249" ht="15.75" customHeight="1">
      <c r="A249" s="60"/>
      <c r="B249" s="60"/>
      <c r="C249" s="60"/>
      <c r="D249" s="60"/>
      <c r="E249" s="60"/>
      <c r="F249" s="393"/>
      <c r="G249" s="394"/>
      <c r="H249" s="60"/>
      <c r="I249" s="395"/>
      <c r="J249" s="395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</row>
    <row r="250" ht="15.75" customHeight="1">
      <c r="A250" s="60"/>
      <c r="B250" s="60"/>
      <c r="C250" s="60"/>
      <c r="D250" s="60"/>
      <c r="E250" s="60"/>
      <c r="F250" s="393"/>
      <c r="G250" s="394"/>
      <c r="H250" s="60"/>
      <c r="I250" s="395"/>
      <c r="J250" s="395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</row>
    <row r="251" ht="15.75" customHeight="1">
      <c r="A251" s="60"/>
      <c r="B251" s="60"/>
      <c r="C251" s="60"/>
      <c r="D251" s="60"/>
      <c r="E251" s="60"/>
      <c r="F251" s="393"/>
      <c r="G251" s="394"/>
      <c r="H251" s="60"/>
      <c r="I251" s="395"/>
      <c r="J251" s="395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</row>
    <row r="252" ht="15.75" customHeight="1">
      <c r="A252" s="60"/>
      <c r="B252" s="60"/>
      <c r="C252" s="60"/>
      <c r="D252" s="60"/>
      <c r="E252" s="60"/>
      <c r="F252" s="393"/>
      <c r="G252" s="394"/>
      <c r="H252" s="60"/>
      <c r="I252" s="395"/>
      <c r="J252" s="395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</row>
    <row r="253" ht="15.75" customHeight="1">
      <c r="A253" s="60"/>
      <c r="B253" s="60"/>
      <c r="C253" s="60"/>
      <c r="D253" s="60"/>
      <c r="E253" s="60"/>
      <c r="F253" s="393"/>
      <c r="G253" s="394"/>
      <c r="H253" s="60"/>
      <c r="I253" s="395"/>
      <c r="J253" s="395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</row>
    <row r="254" ht="15.75" customHeight="1">
      <c r="A254" s="60"/>
      <c r="B254" s="60"/>
      <c r="C254" s="60"/>
      <c r="D254" s="60"/>
      <c r="E254" s="60"/>
      <c r="F254" s="393"/>
      <c r="G254" s="394"/>
      <c r="H254" s="60"/>
      <c r="I254" s="395"/>
      <c r="J254" s="395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</row>
    <row r="255" ht="15.75" customHeight="1">
      <c r="A255" s="60"/>
      <c r="B255" s="60"/>
      <c r="C255" s="60"/>
      <c r="D255" s="60"/>
      <c r="E255" s="60"/>
      <c r="F255" s="393"/>
      <c r="G255" s="394"/>
      <c r="H255" s="60"/>
      <c r="I255" s="395"/>
      <c r="J255" s="395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</row>
    <row r="256" ht="15.75" customHeight="1">
      <c r="A256" s="60"/>
      <c r="B256" s="60"/>
      <c r="C256" s="60"/>
      <c r="D256" s="60"/>
      <c r="E256" s="60"/>
      <c r="F256" s="393"/>
      <c r="G256" s="394"/>
      <c r="H256" s="60"/>
      <c r="I256" s="395"/>
      <c r="J256" s="395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</row>
    <row r="257" ht="15.75" customHeight="1">
      <c r="A257" s="60"/>
      <c r="B257" s="60"/>
      <c r="C257" s="60"/>
      <c r="D257" s="60"/>
      <c r="E257" s="60"/>
      <c r="F257" s="393"/>
      <c r="G257" s="394"/>
      <c r="H257" s="60"/>
      <c r="I257" s="395"/>
      <c r="J257" s="395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</row>
    <row r="258" ht="15.75" customHeight="1">
      <c r="A258" s="60"/>
      <c r="B258" s="60"/>
      <c r="C258" s="60"/>
      <c r="D258" s="60"/>
      <c r="E258" s="60"/>
      <c r="F258" s="393"/>
      <c r="G258" s="394"/>
      <c r="H258" s="60"/>
      <c r="I258" s="395"/>
      <c r="J258" s="395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</row>
    <row r="259" ht="15.75" customHeight="1">
      <c r="A259" s="60"/>
      <c r="B259" s="60"/>
      <c r="C259" s="60"/>
      <c r="D259" s="60"/>
      <c r="E259" s="60"/>
      <c r="F259" s="393"/>
      <c r="G259" s="394"/>
      <c r="H259" s="60"/>
      <c r="I259" s="395"/>
      <c r="J259" s="395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</row>
    <row r="260" ht="15.75" customHeight="1">
      <c r="A260" s="60"/>
      <c r="B260" s="60"/>
      <c r="C260" s="60"/>
      <c r="D260" s="60"/>
      <c r="E260" s="60"/>
      <c r="F260" s="393"/>
      <c r="G260" s="394"/>
      <c r="H260" s="60"/>
      <c r="I260" s="395"/>
      <c r="J260" s="395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</row>
    <row r="261" ht="15.75" customHeight="1">
      <c r="A261" s="60"/>
      <c r="B261" s="60"/>
      <c r="C261" s="60"/>
      <c r="D261" s="60"/>
      <c r="E261" s="60"/>
      <c r="F261" s="393"/>
      <c r="G261" s="394"/>
      <c r="H261" s="60"/>
      <c r="I261" s="395"/>
      <c r="J261" s="395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</row>
    <row r="262" ht="15.75" customHeight="1">
      <c r="A262" s="60"/>
      <c r="B262" s="60"/>
      <c r="C262" s="60"/>
      <c r="D262" s="60"/>
      <c r="E262" s="60"/>
      <c r="F262" s="393"/>
      <c r="G262" s="394"/>
      <c r="H262" s="60"/>
      <c r="I262" s="395"/>
      <c r="J262" s="395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</row>
    <row r="263" ht="15.75" customHeight="1">
      <c r="A263" s="60"/>
      <c r="B263" s="60"/>
      <c r="C263" s="60"/>
      <c r="D263" s="60"/>
      <c r="E263" s="60"/>
      <c r="F263" s="393"/>
      <c r="G263" s="394"/>
      <c r="H263" s="60"/>
      <c r="I263" s="395"/>
      <c r="J263" s="395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</row>
    <row r="264" ht="15.75" customHeight="1">
      <c r="A264" s="60"/>
      <c r="B264" s="60"/>
      <c r="C264" s="60"/>
      <c r="D264" s="60"/>
      <c r="E264" s="60"/>
      <c r="F264" s="393"/>
      <c r="G264" s="394"/>
      <c r="H264" s="60"/>
      <c r="I264" s="395"/>
      <c r="J264" s="395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</row>
    <row r="265" ht="15.75" customHeight="1">
      <c r="A265" s="60"/>
      <c r="B265" s="60"/>
      <c r="C265" s="60"/>
      <c r="D265" s="60"/>
      <c r="E265" s="60"/>
      <c r="F265" s="393"/>
      <c r="G265" s="394"/>
      <c r="H265" s="60"/>
      <c r="I265" s="395"/>
      <c r="J265" s="395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</row>
    <row r="266" ht="15.75" customHeight="1">
      <c r="A266" s="60"/>
      <c r="B266" s="60"/>
      <c r="C266" s="60"/>
      <c r="D266" s="60"/>
      <c r="E266" s="60"/>
      <c r="F266" s="393"/>
      <c r="G266" s="394"/>
      <c r="H266" s="60"/>
      <c r="I266" s="395"/>
      <c r="J266" s="395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</row>
    <row r="267" ht="15.75" customHeight="1">
      <c r="A267" s="60"/>
      <c r="B267" s="60"/>
      <c r="C267" s="60"/>
      <c r="D267" s="60"/>
      <c r="E267" s="60"/>
      <c r="F267" s="393"/>
      <c r="G267" s="394"/>
      <c r="H267" s="60"/>
      <c r="I267" s="395"/>
      <c r="J267" s="395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</row>
    <row r="268" ht="15.75" customHeight="1">
      <c r="A268" s="60"/>
      <c r="B268" s="60"/>
      <c r="C268" s="60"/>
      <c r="D268" s="60"/>
      <c r="E268" s="60"/>
      <c r="F268" s="393"/>
      <c r="G268" s="394"/>
      <c r="H268" s="60"/>
      <c r="I268" s="395"/>
      <c r="J268" s="395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</row>
    <row r="269" ht="15.75" customHeight="1">
      <c r="A269" s="60"/>
      <c r="B269" s="60"/>
      <c r="C269" s="60"/>
      <c r="D269" s="60"/>
      <c r="E269" s="60"/>
      <c r="F269" s="393"/>
      <c r="G269" s="394"/>
      <c r="H269" s="60"/>
      <c r="I269" s="395"/>
      <c r="J269" s="395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</row>
    <row r="270" ht="15.75" customHeight="1">
      <c r="A270" s="60"/>
      <c r="B270" s="60"/>
      <c r="C270" s="60"/>
      <c r="D270" s="60"/>
      <c r="E270" s="60"/>
      <c r="F270" s="393"/>
      <c r="G270" s="394"/>
      <c r="H270" s="60"/>
      <c r="I270" s="395"/>
      <c r="J270" s="395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</row>
    <row r="271" ht="15.75" customHeight="1">
      <c r="A271" s="60"/>
      <c r="B271" s="60"/>
      <c r="C271" s="60"/>
      <c r="D271" s="60"/>
      <c r="E271" s="60"/>
      <c r="F271" s="393"/>
      <c r="G271" s="394"/>
      <c r="H271" s="60"/>
      <c r="I271" s="395"/>
      <c r="J271" s="395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</row>
    <row r="272" ht="15.75" customHeight="1">
      <c r="A272" s="60"/>
      <c r="B272" s="60"/>
      <c r="C272" s="60"/>
      <c r="D272" s="60"/>
      <c r="E272" s="60"/>
      <c r="F272" s="393"/>
      <c r="G272" s="394"/>
      <c r="H272" s="60"/>
      <c r="I272" s="395"/>
      <c r="J272" s="395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</row>
    <row r="273" ht="15.75" customHeight="1">
      <c r="A273" s="60"/>
      <c r="B273" s="60"/>
      <c r="C273" s="60"/>
      <c r="D273" s="60"/>
      <c r="E273" s="60"/>
      <c r="F273" s="393"/>
      <c r="G273" s="394"/>
      <c r="H273" s="60"/>
      <c r="I273" s="395"/>
      <c r="J273" s="395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</row>
    <row r="274" ht="15.75" customHeight="1">
      <c r="A274" s="60"/>
      <c r="B274" s="60"/>
      <c r="C274" s="60"/>
      <c r="D274" s="60"/>
      <c r="E274" s="60"/>
      <c r="F274" s="393"/>
      <c r="G274" s="394"/>
      <c r="H274" s="60"/>
      <c r="I274" s="395"/>
      <c r="J274" s="395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</row>
    <row r="275" ht="15.75" customHeight="1">
      <c r="A275" s="60"/>
      <c r="B275" s="60"/>
      <c r="C275" s="60"/>
      <c r="D275" s="60"/>
      <c r="E275" s="60"/>
      <c r="F275" s="393"/>
      <c r="G275" s="394"/>
      <c r="H275" s="60"/>
      <c r="I275" s="395"/>
      <c r="J275" s="395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</row>
    <row r="276" ht="15.75" customHeight="1">
      <c r="A276" s="60"/>
      <c r="B276" s="60"/>
      <c r="C276" s="60"/>
      <c r="D276" s="60"/>
      <c r="E276" s="60"/>
      <c r="F276" s="393"/>
      <c r="G276" s="394"/>
      <c r="H276" s="60"/>
      <c r="I276" s="395"/>
      <c r="J276" s="395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</row>
    <row r="277" ht="15.75" customHeight="1">
      <c r="A277" s="60"/>
      <c r="B277" s="60"/>
      <c r="C277" s="60"/>
      <c r="D277" s="60"/>
      <c r="E277" s="60"/>
      <c r="F277" s="393"/>
      <c r="G277" s="394"/>
      <c r="H277" s="60"/>
      <c r="I277" s="395"/>
      <c r="J277" s="395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</row>
    <row r="278" ht="15.75" customHeight="1">
      <c r="A278" s="60"/>
      <c r="B278" s="60"/>
      <c r="C278" s="60"/>
      <c r="D278" s="60"/>
      <c r="E278" s="60"/>
      <c r="F278" s="393"/>
      <c r="G278" s="394"/>
      <c r="H278" s="60"/>
      <c r="I278" s="395"/>
      <c r="J278" s="395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</row>
    <row r="279" ht="15.75" customHeight="1">
      <c r="A279" s="60"/>
      <c r="B279" s="60"/>
      <c r="C279" s="60"/>
      <c r="D279" s="60"/>
      <c r="E279" s="60"/>
      <c r="F279" s="393"/>
      <c r="G279" s="394"/>
      <c r="H279" s="60"/>
      <c r="I279" s="395"/>
      <c r="J279" s="395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</row>
    <row r="280" ht="15.75" customHeight="1">
      <c r="A280" s="60"/>
      <c r="B280" s="60"/>
      <c r="C280" s="60"/>
      <c r="D280" s="60"/>
      <c r="E280" s="60"/>
      <c r="F280" s="393"/>
      <c r="G280" s="394"/>
      <c r="H280" s="60"/>
      <c r="I280" s="395"/>
      <c r="J280" s="395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</row>
    <row r="281" ht="15.75" customHeight="1">
      <c r="A281" s="60"/>
      <c r="B281" s="60"/>
      <c r="C281" s="60"/>
      <c r="D281" s="60"/>
      <c r="E281" s="60"/>
      <c r="F281" s="393"/>
      <c r="G281" s="394"/>
      <c r="H281" s="60"/>
      <c r="I281" s="395"/>
      <c r="J281" s="395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</row>
    <row r="282" ht="15.75" customHeight="1">
      <c r="A282" s="60"/>
      <c r="B282" s="60"/>
      <c r="C282" s="60"/>
      <c r="D282" s="60"/>
      <c r="E282" s="60"/>
      <c r="F282" s="393"/>
      <c r="G282" s="394"/>
      <c r="H282" s="60"/>
      <c r="I282" s="395"/>
      <c r="J282" s="395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</row>
    <row r="283" ht="15.75" customHeight="1">
      <c r="A283" s="60"/>
      <c r="B283" s="60"/>
      <c r="C283" s="60"/>
      <c r="D283" s="60"/>
      <c r="E283" s="60"/>
      <c r="F283" s="393"/>
      <c r="G283" s="394"/>
      <c r="H283" s="60"/>
      <c r="I283" s="395"/>
      <c r="J283" s="395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</row>
    <row r="284" ht="15.75" customHeight="1">
      <c r="A284" s="60"/>
      <c r="B284" s="60"/>
      <c r="C284" s="60"/>
      <c r="D284" s="60"/>
      <c r="E284" s="60"/>
      <c r="F284" s="393"/>
      <c r="G284" s="394"/>
      <c r="H284" s="60"/>
      <c r="I284" s="395"/>
      <c r="J284" s="395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</row>
    <row r="285" ht="15.75" customHeight="1">
      <c r="A285" s="60"/>
      <c r="B285" s="60"/>
      <c r="C285" s="60"/>
      <c r="D285" s="60"/>
      <c r="E285" s="60"/>
      <c r="F285" s="393"/>
      <c r="G285" s="394"/>
      <c r="H285" s="60"/>
      <c r="I285" s="395"/>
      <c r="J285" s="395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</row>
    <row r="286" ht="15.75" customHeight="1">
      <c r="A286" s="60"/>
      <c r="B286" s="60"/>
      <c r="C286" s="60"/>
      <c r="D286" s="60"/>
      <c r="E286" s="60"/>
      <c r="F286" s="393"/>
      <c r="G286" s="394"/>
      <c r="H286" s="60"/>
      <c r="I286" s="395"/>
      <c r="J286" s="395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</row>
    <row r="287" ht="15.75" customHeight="1">
      <c r="A287" s="60"/>
      <c r="B287" s="60"/>
      <c r="C287" s="60"/>
      <c r="D287" s="60"/>
      <c r="E287" s="60"/>
      <c r="F287" s="393"/>
      <c r="G287" s="394"/>
      <c r="H287" s="60"/>
      <c r="I287" s="395"/>
      <c r="J287" s="395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</row>
    <row r="288" ht="15.75" customHeight="1">
      <c r="A288" s="60"/>
      <c r="B288" s="60"/>
      <c r="C288" s="60"/>
      <c r="D288" s="60"/>
      <c r="E288" s="60"/>
      <c r="F288" s="393"/>
      <c r="G288" s="394"/>
      <c r="H288" s="60"/>
      <c r="I288" s="395"/>
      <c r="J288" s="395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</row>
    <row r="289" ht="15.75" customHeight="1">
      <c r="A289" s="60"/>
      <c r="B289" s="60"/>
      <c r="C289" s="60"/>
      <c r="D289" s="60"/>
      <c r="E289" s="60"/>
      <c r="F289" s="393"/>
      <c r="G289" s="394"/>
      <c r="H289" s="60"/>
      <c r="I289" s="395"/>
      <c r="J289" s="395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</row>
    <row r="290" ht="15.75" customHeight="1">
      <c r="A290" s="60"/>
      <c r="B290" s="60"/>
      <c r="C290" s="60"/>
      <c r="D290" s="60"/>
      <c r="E290" s="60"/>
      <c r="F290" s="393"/>
      <c r="G290" s="394"/>
      <c r="H290" s="60"/>
      <c r="I290" s="395"/>
      <c r="J290" s="395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</row>
    <row r="291" ht="15.75" customHeight="1">
      <c r="A291" s="60"/>
      <c r="B291" s="60"/>
      <c r="C291" s="60"/>
      <c r="D291" s="60"/>
      <c r="E291" s="60"/>
      <c r="F291" s="393"/>
      <c r="G291" s="394"/>
      <c r="H291" s="60"/>
      <c r="I291" s="395"/>
      <c r="J291" s="395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</row>
    <row r="292" ht="15.75" customHeight="1">
      <c r="A292" s="60"/>
      <c r="B292" s="60"/>
      <c r="C292" s="60"/>
      <c r="D292" s="60"/>
      <c r="E292" s="60"/>
      <c r="F292" s="393"/>
      <c r="G292" s="394"/>
      <c r="H292" s="60"/>
      <c r="I292" s="395"/>
      <c r="J292" s="395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</row>
    <row r="293" ht="15.75" customHeight="1">
      <c r="A293" s="60"/>
      <c r="B293" s="60"/>
      <c r="C293" s="60"/>
      <c r="D293" s="60"/>
      <c r="E293" s="60"/>
      <c r="F293" s="393"/>
      <c r="G293" s="394"/>
      <c r="H293" s="60"/>
      <c r="I293" s="395"/>
      <c r="J293" s="395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</row>
    <row r="294" ht="15.75" customHeight="1">
      <c r="A294" s="60"/>
      <c r="B294" s="60"/>
      <c r="C294" s="60"/>
      <c r="D294" s="60"/>
      <c r="E294" s="60"/>
      <c r="F294" s="393"/>
      <c r="G294" s="394"/>
      <c r="H294" s="60"/>
      <c r="I294" s="395"/>
      <c r="J294" s="395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</row>
    <row r="295" ht="15.75" customHeight="1">
      <c r="A295" s="60"/>
      <c r="B295" s="60"/>
      <c r="C295" s="60"/>
      <c r="D295" s="60"/>
      <c r="E295" s="60"/>
      <c r="F295" s="393"/>
      <c r="G295" s="394"/>
      <c r="H295" s="60"/>
      <c r="I295" s="395"/>
      <c r="J295" s="395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</row>
    <row r="296" ht="15.75" customHeight="1">
      <c r="A296" s="60"/>
      <c r="B296" s="60"/>
      <c r="C296" s="60"/>
      <c r="D296" s="60"/>
      <c r="E296" s="60"/>
      <c r="F296" s="393"/>
      <c r="G296" s="394"/>
      <c r="H296" s="60"/>
      <c r="I296" s="395"/>
      <c r="J296" s="395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</row>
    <row r="297" ht="15.75" customHeight="1">
      <c r="A297" s="60"/>
      <c r="B297" s="60"/>
      <c r="C297" s="60"/>
      <c r="D297" s="60"/>
      <c r="E297" s="60"/>
      <c r="F297" s="393"/>
      <c r="G297" s="394"/>
      <c r="H297" s="60"/>
      <c r="I297" s="395"/>
      <c r="J297" s="395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</row>
    <row r="298" ht="15.75" customHeight="1">
      <c r="A298" s="60"/>
      <c r="B298" s="60"/>
      <c r="C298" s="60"/>
      <c r="D298" s="60"/>
      <c r="E298" s="60"/>
      <c r="F298" s="393"/>
      <c r="G298" s="394"/>
      <c r="H298" s="60"/>
      <c r="I298" s="395"/>
      <c r="J298" s="395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</row>
    <row r="299" ht="15.75" customHeight="1">
      <c r="A299" s="60"/>
      <c r="B299" s="60"/>
      <c r="C299" s="60"/>
      <c r="D299" s="60"/>
      <c r="E299" s="60"/>
      <c r="F299" s="393"/>
      <c r="G299" s="394"/>
      <c r="H299" s="60"/>
      <c r="I299" s="395"/>
      <c r="J299" s="395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</row>
    <row r="300" ht="15.75" customHeight="1">
      <c r="A300" s="60"/>
      <c r="B300" s="60"/>
      <c r="C300" s="60"/>
      <c r="D300" s="60"/>
      <c r="E300" s="60"/>
      <c r="F300" s="393"/>
      <c r="G300" s="394"/>
      <c r="H300" s="60"/>
      <c r="I300" s="395"/>
      <c r="J300" s="395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</row>
    <row r="301" ht="15.75" customHeight="1">
      <c r="A301" s="60"/>
      <c r="B301" s="60"/>
      <c r="C301" s="60"/>
      <c r="D301" s="60"/>
      <c r="E301" s="60"/>
      <c r="F301" s="393"/>
      <c r="G301" s="394"/>
      <c r="H301" s="60"/>
      <c r="I301" s="395"/>
      <c r="J301" s="395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</row>
    <row r="302" ht="15.75" customHeight="1">
      <c r="A302" s="60"/>
      <c r="B302" s="60"/>
      <c r="C302" s="60"/>
      <c r="D302" s="60"/>
      <c r="E302" s="60"/>
      <c r="F302" s="393"/>
      <c r="G302" s="394"/>
      <c r="H302" s="60"/>
      <c r="I302" s="395"/>
      <c r="J302" s="395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</row>
    <row r="303" ht="15.75" customHeight="1">
      <c r="A303" s="60"/>
      <c r="B303" s="60"/>
      <c r="C303" s="60"/>
      <c r="D303" s="60"/>
      <c r="E303" s="60"/>
      <c r="F303" s="393"/>
      <c r="G303" s="394"/>
      <c r="H303" s="60"/>
      <c r="I303" s="395"/>
      <c r="J303" s="395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</row>
    <row r="304" ht="15.75" customHeight="1">
      <c r="A304" s="60"/>
      <c r="B304" s="60"/>
      <c r="C304" s="60"/>
      <c r="D304" s="60"/>
      <c r="E304" s="60"/>
      <c r="F304" s="393"/>
      <c r="G304" s="394"/>
      <c r="H304" s="60"/>
      <c r="I304" s="395"/>
      <c r="J304" s="395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</row>
    <row r="305" ht="15.75" customHeight="1">
      <c r="A305" s="60"/>
      <c r="B305" s="60"/>
      <c r="C305" s="60"/>
      <c r="D305" s="60"/>
      <c r="E305" s="60"/>
      <c r="F305" s="393"/>
      <c r="G305" s="394"/>
      <c r="H305" s="60"/>
      <c r="I305" s="395"/>
      <c r="J305" s="395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</row>
    <row r="306" ht="15.75" customHeight="1">
      <c r="A306" s="60"/>
      <c r="B306" s="60"/>
      <c r="C306" s="60"/>
      <c r="D306" s="60"/>
      <c r="E306" s="60"/>
      <c r="F306" s="393"/>
      <c r="G306" s="394"/>
      <c r="H306" s="60"/>
      <c r="I306" s="395"/>
      <c r="J306" s="395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</row>
    <row r="307" ht="15.75" customHeight="1">
      <c r="A307" s="60"/>
      <c r="B307" s="60"/>
      <c r="C307" s="60"/>
      <c r="D307" s="60"/>
      <c r="E307" s="60"/>
      <c r="F307" s="393"/>
      <c r="G307" s="394"/>
      <c r="H307" s="60"/>
      <c r="I307" s="395"/>
      <c r="J307" s="395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</row>
    <row r="308" ht="15.75" customHeight="1">
      <c r="A308" s="60"/>
      <c r="B308" s="60"/>
      <c r="C308" s="60"/>
      <c r="D308" s="60"/>
      <c r="E308" s="60"/>
      <c r="F308" s="393"/>
      <c r="G308" s="394"/>
      <c r="H308" s="60"/>
      <c r="I308" s="395"/>
      <c r="J308" s="395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</row>
    <row r="309" ht="15.75" customHeight="1">
      <c r="A309" s="60"/>
      <c r="B309" s="60"/>
      <c r="C309" s="60"/>
      <c r="D309" s="60"/>
      <c r="E309" s="60"/>
      <c r="F309" s="393"/>
      <c r="G309" s="394"/>
      <c r="H309" s="60"/>
      <c r="I309" s="395"/>
      <c r="J309" s="395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</row>
    <row r="310" ht="15.75" customHeight="1">
      <c r="A310" s="60"/>
      <c r="B310" s="60"/>
      <c r="C310" s="60"/>
      <c r="D310" s="60"/>
      <c r="E310" s="60"/>
      <c r="F310" s="393"/>
      <c r="G310" s="394"/>
      <c r="H310" s="60"/>
      <c r="I310" s="395"/>
      <c r="J310" s="395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</row>
    <row r="311" ht="15.75" customHeight="1">
      <c r="A311" s="60"/>
      <c r="B311" s="60"/>
      <c r="C311" s="60"/>
      <c r="D311" s="60"/>
      <c r="E311" s="60"/>
      <c r="F311" s="393"/>
      <c r="G311" s="394"/>
      <c r="H311" s="60"/>
      <c r="I311" s="395"/>
      <c r="J311" s="395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</row>
    <row r="312" ht="15.75" customHeight="1">
      <c r="A312" s="60"/>
      <c r="B312" s="60"/>
      <c r="C312" s="60"/>
      <c r="D312" s="60"/>
      <c r="E312" s="60"/>
      <c r="F312" s="393"/>
      <c r="G312" s="394"/>
      <c r="H312" s="60"/>
      <c r="I312" s="395"/>
      <c r="J312" s="395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</row>
    <row r="313" ht="15.75" customHeight="1">
      <c r="A313" s="60"/>
      <c r="B313" s="60"/>
      <c r="C313" s="60"/>
      <c r="D313" s="60"/>
      <c r="E313" s="60"/>
      <c r="F313" s="393"/>
      <c r="G313" s="394"/>
      <c r="H313" s="60"/>
      <c r="I313" s="395"/>
      <c r="J313" s="395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</row>
    <row r="314" ht="15.75" customHeight="1">
      <c r="A314" s="60"/>
      <c r="B314" s="60"/>
      <c r="C314" s="60"/>
      <c r="D314" s="60"/>
      <c r="E314" s="60"/>
      <c r="F314" s="393"/>
      <c r="G314" s="394"/>
      <c r="H314" s="60"/>
      <c r="I314" s="395"/>
      <c r="J314" s="395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</row>
    <row r="315" ht="15.75" customHeight="1">
      <c r="A315" s="60"/>
      <c r="B315" s="60"/>
      <c r="C315" s="60"/>
      <c r="D315" s="60"/>
      <c r="E315" s="60"/>
      <c r="F315" s="393"/>
      <c r="G315" s="394"/>
      <c r="H315" s="60"/>
      <c r="I315" s="395"/>
      <c r="J315" s="395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</row>
    <row r="316" ht="15.75" customHeight="1">
      <c r="A316" s="60"/>
      <c r="B316" s="60"/>
      <c r="C316" s="60"/>
      <c r="D316" s="60"/>
      <c r="E316" s="60"/>
      <c r="F316" s="393"/>
      <c r="G316" s="394"/>
      <c r="H316" s="60"/>
      <c r="I316" s="395"/>
      <c r="J316" s="395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</row>
    <row r="317" ht="15.75" customHeight="1">
      <c r="A317" s="60"/>
      <c r="B317" s="60"/>
      <c r="C317" s="60"/>
      <c r="D317" s="60"/>
      <c r="E317" s="60"/>
      <c r="F317" s="393"/>
      <c r="G317" s="394"/>
      <c r="H317" s="60"/>
      <c r="I317" s="395"/>
      <c r="J317" s="395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</row>
    <row r="318" ht="15.75" customHeight="1">
      <c r="A318" s="60"/>
      <c r="B318" s="60"/>
      <c r="C318" s="60"/>
      <c r="D318" s="60"/>
      <c r="E318" s="60"/>
      <c r="F318" s="393"/>
      <c r="G318" s="394"/>
      <c r="H318" s="60"/>
      <c r="I318" s="395"/>
      <c r="J318" s="395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</row>
    <row r="319" ht="15.75" customHeight="1">
      <c r="A319" s="60"/>
      <c r="B319" s="60"/>
      <c r="C319" s="60"/>
      <c r="D319" s="60"/>
      <c r="E319" s="60"/>
      <c r="F319" s="393"/>
      <c r="G319" s="394"/>
      <c r="H319" s="60"/>
      <c r="I319" s="395"/>
      <c r="J319" s="395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</row>
    <row r="320" ht="15.75" customHeight="1">
      <c r="A320" s="60"/>
      <c r="B320" s="60"/>
      <c r="C320" s="60"/>
      <c r="D320" s="60"/>
      <c r="E320" s="60"/>
      <c r="F320" s="393"/>
      <c r="G320" s="394"/>
      <c r="H320" s="60"/>
      <c r="I320" s="395"/>
      <c r="J320" s="395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</row>
    <row r="321" ht="15.75" customHeight="1">
      <c r="A321" s="60"/>
      <c r="B321" s="60"/>
      <c r="C321" s="60"/>
      <c r="D321" s="60"/>
      <c r="E321" s="60"/>
      <c r="F321" s="393"/>
      <c r="G321" s="394"/>
      <c r="H321" s="60"/>
      <c r="I321" s="395"/>
      <c r="J321" s="395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</row>
    <row r="322" ht="15.75" customHeight="1">
      <c r="A322" s="60"/>
      <c r="B322" s="60"/>
      <c r="C322" s="60"/>
      <c r="D322" s="60"/>
      <c r="E322" s="60"/>
      <c r="F322" s="393"/>
      <c r="G322" s="394"/>
      <c r="H322" s="60"/>
      <c r="I322" s="395"/>
      <c r="J322" s="395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</row>
    <row r="323" ht="15.75" customHeight="1">
      <c r="A323" s="60"/>
      <c r="B323" s="60"/>
      <c r="C323" s="60"/>
      <c r="D323" s="60"/>
      <c r="E323" s="60"/>
      <c r="F323" s="393"/>
      <c r="G323" s="394"/>
      <c r="H323" s="60"/>
      <c r="I323" s="395"/>
      <c r="J323" s="395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</row>
    <row r="324" ht="15.75" customHeight="1">
      <c r="A324" s="60"/>
      <c r="B324" s="60"/>
      <c r="C324" s="60"/>
      <c r="D324" s="60"/>
      <c r="E324" s="60"/>
      <c r="F324" s="393"/>
      <c r="G324" s="394"/>
      <c r="H324" s="60"/>
      <c r="I324" s="395"/>
      <c r="J324" s="395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</row>
    <row r="325" ht="15.75" customHeight="1">
      <c r="A325" s="60"/>
      <c r="B325" s="60"/>
      <c r="C325" s="60"/>
      <c r="D325" s="60"/>
      <c r="E325" s="60"/>
      <c r="F325" s="393"/>
      <c r="G325" s="394"/>
      <c r="H325" s="60"/>
      <c r="I325" s="395"/>
      <c r="J325" s="395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</row>
    <row r="326" ht="15.75" customHeight="1">
      <c r="A326" s="60"/>
      <c r="B326" s="60"/>
      <c r="C326" s="60"/>
      <c r="D326" s="60"/>
      <c r="E326" s="60"/>
      <c r="F326" s="393"/>
      <c r="G326" s="394"/>
      <c r="H326" s="60"/>
      <c r="I326" s="395"/>
      <c r="J326" s="395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</row>
    <row r="327" ht="15.75" customHeight="1">
      <c r="A327" s="60"/>
      <c r="B327" s="60"/>
      <c r="C327" s="60"/>
      <c r="D327" s="60"/>
      <c r="E327" s="60"/>
      <c r="F327" s="393"/>
      <c r="G327" s="394"/>
      <c r="H327" s="60"/>
      <c r="I327" s="395"/>
      <c r="J327" s="395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</row>
    <row r="328" ht="15.75" customHeight="1">
      <c r="A328" s="60"/>
      <c r="B328" s="60"/>
      <c r="C328" s="60"/>
      <c r="D328" s="60"/>
      <c r="E328" s="60"/>
      <c r="F328" s="393"/>
      <c r="G328" s="394"/>
      <c r="H328" s="60"/>
      <c r="I328" s="395"/>
      <c r="J328" s="395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</row>
    <row r="329" ht="15.75" customHeight="1">
      <c r="A329" s="60"/>
      <c r="B329" s="60"/>
      <c r="C329" s="60"/>
      <c r="D329" s="60"/>
      <c r="E329" s="60"/>
      <c r="F329" s="393"/>
      <c r="G329" s="394"/>
      <c r="H329" s="60"/>
      <c r="I329" s="395"/>
      <c r="J329" s="395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</row>
    <row r="330" ht="15.75" customHeight="1">
      <c r="A330" s="60"/>
      <c r="B330" s="60"/>
      <c r="C330" s="60"/>
      <c r="D330" s="60"/>
      <c r="E330" s="60"/>
      <c r="F330" s="393"/>
      <c r="G330" s="394"/>
      <c r="H330" s="60"/>
      <c r="I330" s="395"/>
      <c r="J330" s="395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</row>
    <row r="331" ht="15.75" customHeight="1">
      <c r="A331" s="60"/>
      <c r="B331" s="60"/>
      <c r="C331" s="60"/>
      <c r="D331" s="60"/>
      <c r="E331" s="60"/>
      <c r="F331" s="393"/>
      <c r="G331" s="394"/>
      <c r="H331" s="60"/>
      <c r="I331" s="395"/>
      <c r="J331" s="395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</row>
    <row r="332" ht="15.75" customHeight="1">
      <c r="A332" s="60"/>
      <c r="B332" s="60"/>
      <c r="C332" s="60"/>
      <c r="D332" s="60"/>
      <c r="E332" s="60"/>
      <c r="F332" s="393"/>
      <c r="G332" s="394"/>
      <c r="H332" s="60"/>
      <c r="I332" s="395"/>
      <c r="J332" s="395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</row>
    <row r="333" ht="15.75" customHeight="1">
      <c r="A333" s="60"/>
      <c r="B333" s="60"/>
      <c r="C333" s="60"/>
      <c r="D333" s="60"/>
      <c r="E333" s="60"/>
      <c r="F333" s="393"/>
      <c r="G333" s="394"/>
      <c r="H333" s="60"/>
      <c r="I333" s="395"/>
      <c r="J333" s="395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</row>
    <row r="334" ht="15.75" customHeight="1">
      <c r="A334" s="60"/>
      <c r="B334" s="60"/>
      <c r="C334" s="60"/>
      <c r="D334" s="60"/>
      <c r="E334" s="60"/>
      <c r="F334" s="393"/>
      <c r="G334" s="394"/>
      <c r="H334" s="60"/>
      <c r="I334" s="395"/>
      <c r="J334" s="395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</row>
    <row r="335" ht="15.75" customHeight="1">
      <c r="A335" s="60"/>
      <c r="B335" s="60"/>
      <c r="C335" s="60"/>
      <c r="D335" s="60"/>
      <c r="E335" s="60"/>
      <c r="F335" s="393"/>
      <c r="G335" s="394"/>
      <c r="H335" s="60"/>
      <c r="I335" s="395"/>
      <c r="J335" s="395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</row>
    <row r="336" ht="15.75" customHeight="1">
      <c r="A336" s="60"/>
      <c r="B336" s="60"/>
      <c r="C336" s="60"/>
      <c r="D336" s="60"/>
      <c r="E336" s="60"/>
      <c r="F336" s="393"/>
      <c r="G336" s="394"/>
      <c r="H336" s="60"/>
      <c r="I336" s="395"/>
      <c r="J336" s="395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</row>
    <row r="337" ht="15.75" customHeight="1">
      <c r="A337" s="60"/>
      <c r="B337" s="60"/>
      <c r="C337" s="60"/>
      <c r="D337" s="60"/>
      <c r="E337" s="60"/>
      <c r="F337" s="393"/>
      <c r="G337" s="394"/>
      <c r="H337" s="60"/>
      <c r="I337" s="395"/>
      <c r="J337" s="395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</row>
    <row r="338" ht="15.75" customHeight="1">
      <c r="A338" s="60"/>
      <c r="B338" s="60"/>
      <c r="C338" s="60"/>
      <c r="D338" s="60"/>
      <c r="E338" s="60"/>
      <c r="F338" s="393"/>
      <c r="G338" s="394"/>
      <c r="H338" s="60"/>
      <c r="I338" s="395"/>
      <c r="J338" s="395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</row>
    <row r="339" ht="15.75" customHeight="1">
      <c r="A339" s="60"/>
      <c r="B339" s="60"/>
      <c r="C339" s="60"/>
      <c r="D339" s="60"/>
      <c r="E339" s="60"/>
      <c r="F339" s="393"/>
      <c r="G339" s="394"/>
      <c r="H339" s="60"/>
      <c r="I339" s="395"/>
      <c r="J339" s="395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</row>
    <row r="340" ht="15.75" customHeight="1">
      <c r="A340" s="60"/>
      <c r="B340" s="60"/>
      <c r="C340" s="60"/>
      <c r="D340" s="60"/>
      <c r="E340" s="60"/>
      <c r="F340" s="393"/>
      <c r="G340" s="394"/>
      <c r="H340" s="60"/>
      <c r="I340" s="395"/>
      <c r="J340" s="395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</row>
    <row r="341" ht="15.75" customHeight="1">
      <c r="A341" s="60"/>
      <c r="B341" s="60"/>
      <c r="C341" s="60"/>
      <c r="D341" s="60"/>
      <c r="E341" s="60"/>
      <c r="F341" s="393"/>
      <c r="G341" s="394"/>
      <c r="H341" s="60"/>
      <c r="I341" s="395"/>
      <c r="J341" s="395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</row>
    <row r="342" ht="15.75" customHeight="1">
      <c r="A342" s="60"/>
      <c r="B342" s="60"/>
      <c r="C342" s="60"/>
      <c r="D342" s="60"/>
      <c r="E342" s="60"/>
      <c r="F342" s="393"/>
      <c r="G342" s="394"/>
      <c r="H342" s="60"/>
      <c r="I342" s="395"/>
      <c r="J342" s="395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</row>
    <row r="343" ht="15.75" customHeight="1">
      <c r="A343" s="60"/>
      <c r="B343" s="60"/>
      <c r="C343" s="60"/>
      <c r="D343" s="60"/>
      <c r="E343" s="60"/>
      <c r="F343" s="393"/>
      <c r="G343" s="394"/>
      <c r="H343" s="60"/>
      <c r="I343" s="395"/>
      <c r="J343" s="395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</row>
    <row r="344" ht="15.75" customHeight="1">
      <c r="A344" s="60"/>
      <c r="B344" s="60"/>
      <c r="C344" s="60"/>
      <c r="D344" s="60"/>
      <c r="E344" s="60"/>
      <c r="F344" s="393"/>
      <c r="G344" s="394"/>
      <c r="H344" s="60"/>
      <c r="I344" s="395"/>
      <c r="J344" s="395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</row>
    <row r="345" ht="15.75" customHeight="1">
      <c r="A345" s="60"/>
      <c r="B345" s="60"/>
      <c r="C345" s="60"/>
      <c r="D345" s="60"/>
      <c r="E345" s="60"/>
      <c r="F345" s="393"/>
      <c r="G345" s="394"/>
      <c r="H345" s="60"/>
      <c r="I345" s="395"/>
      <c r="J345" s="395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</row>
    <row r="346" ht="15.75" customHeight="1">
      <c r="A346" s="60"/>
      <c r="B346" s="60"/>
      <c r="C346" s="60"/>
      <c r="D346" s="60"/>
      <c r="E346" s="60"/>
      <c r="F346" s="393"/>
      <c r="G346" s="394"/>
      <c r="H346" s="60"/>
      <c r="I346" s="395"/>
      <c r="J346" s="395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</row>
    <row r="347" ht="15.75" customHeight="1">
      <c r="A347" s="60"/>
      <c r="B347" s="60"/>
      <c r="C347" s="60"/>
      <c r="D347" s="60"/>
      <c r="E347" s="60"/>
      <c r="F347" s="393"/>
      <c r="G347" s="394"/>
      <c r="H347" s="60"/>
      <c r="I347" s="395"/>
      <c r="J347" s="395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</row>
    <row r="348" ht="15.75" customHeight="1">
      <c r="A348" s="60"/>
      <c r="B348" s="60"/>
      <c r="C348" s="60"/>
      <c r="D348" s="60"/>
      <c r="E348" s="60"/>
      <c r="F348" s="393"/>
      <c r="G348" s="394"/>
      <c r="H348" s="60"/>
      <c r="I348" s="395"/>
      <c r="J348" s="395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</row>
    <row r="349" ht="15.75" customHeight="1">
      <c r="A349" s="60"/>
      <c r="B349" s="60"/>
      <c r="C349" s="60"/>
      <c r="D349" s="60"/>
      <c r="E349" s="60"/>
      <c r="F349" s="393"/>
      <c r="G349" s="394"/>
      <c r="H349" s="60"/>
      <c r="I349" s="395"/>
      <c r="J349" s="395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</row>
    <row r="350" ht="15.75" customHeight="1">
      <c r="A350" s="60"/>
      <c r="B350" s="60"/>
      <c r="C350" s="60"/>
      <c r="D350" s="60"/>
      <c r="E350" s="60"/>
      <c r="F350" s="393"/>
      <c r="G350" s="394"/>
      <c r="H350" s="60"/>
      <c r="I350" s="395"/>
      <c r="J350" s="395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</row>
    <row r="351" ht="15.75" customHeight="1">
      <c r="A351" s="60"/>
      <c r="B351" s="60"/>
      <c r="C351" s="60"/>
      <c r="D351" s="60"/>
      <c r="E351" s="60"/>
      <c r="F351" s="393"/>
      <c r="G351" s="394"/>
      <c r="H351" s="60"/>
      <c r="I351" s="395"/>
      <c r="J351" s="395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</row>
    <row r="352" ht="15.75" customHeight="1">
      <c r="A352" s="60"/>
      <c r="B352" s="60"/>
      <c r="C352" s="60"/>
      <c r="D352" s="60"/>
      <c r="E352" s="60"/>
      <c r="F352" s="393"/>
      <c r="G352" s="394"/>
      <c r="H352" s="60"/>
      <c r="I352" s="395"/>
      <c r="J352" s="395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</row>
    <row r="353" ht="15.75" customHeight="1">
      <c r="A353" s="60"/>
      <c r="B353" s="60"/>
      <c r="C353" s="60"/>
      <c r="D353" s="60"/>
      <c r="E353" s="60"/>
      <c r="F353" s="393"/>
      <c r="G353" s="394"/>
      <c r="H353" s="60"/>
      <c r="I353" s="395"/>
      <c r="J353" s="395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</row>
    <row r="354" ht="15.75" customHeight="1">
      <c r="A354" s="60"/>
      <c r="B354" s="60"/>
      <c r="C354" s="60"/>
      <c r="D354" s="60"/>
      <c r="E354" s="60"/>
      <c r="F354" s="393"/>
      <c r="G354" s="394"/>
      <c r="H354" s="60"/>
      <c r="I354" s="395"/>
      <c r="J354" s="395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</row>
    <row r="355" ht="15.75" customHeight="1">
      <c r="A355" s="60"/>
      <c r="B355" s="60"/>
      <c r="C355" s="60"/>
      <c r="D355" s="60"/>
      <c r="E355" s="60"/>
      <c r="F355" s="393"/>
      <c r="G355" s="394"/>
      <c r="H355" s="60"/>
      <c r="I355" s="395"/>
      <c r="J355" s="395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</row>
    <row r="356" ht="15.75" customHeight="1">
      <c r="A356" s="60"/>
      <c r="B356" s="60"/>
      <c r="C356" s="60"/>
      <c r="D356" s="60"/>
      <c r="E356" s="60"/>
      <c r="F356" s="393"/>
      <c r="G356" s="394"/>
      <c r="H356" s="60"/>
      <c r="I356" s="395"/>
      <c r="J356" s="395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</row>
    <row r="357" ht="15.75" customHeight="1">
      <c r="A357" s="60"/>
      <c r="B357" s="60"/>
      <c r="C357" s="60"/>
      <c r="D357" s="60"/>
      <c r="E357" s="60"/>
      <c r="F357" s="393"/>
      <c r="G357" s="394"/>
      <c r="H357" s="60"/>
      <c r="I357" s="395"/>
      <c r="J357" s="395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</row>
    <row r="358" ht="15.75" customHeight="1">
      <c r="A358" s="60"/>
      <c r="B358" s="60"/>
      <c r="C358" s="60"/>
      <c r="D358" s="60"/>
      <c r="E358" s="60"/>
      <c r="F358" s="393"/>
      <c r="G358" s="394"/>
      <c r="H358" s="60"/>
      <c r="I358" s="395"/>
      <c r="J358" s="395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</row>
    <row r="359" ht="15.75" customHeight="1">
      <c r="A359" s="60"/>
      <c r="B359" s="60"/>
      <c r="C359" s="60"/>
      <c r="D359" s="60"/>
      <c r="E359" s="60"/>
      <c r="F359" s="393"/>
      <c r="G359" s="394"/>
      <c r="H359" s="60"/>
      <c r="I359" s="395"/>
      <c r="J359" s="395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</row>
    <row r="360" ht="15.75" customHeight="1">
      <c r="A360" s="60"/>
      <c r="B360" s="60"/>
      <c r="C360" s="60"/>
      <c r="D360" s="60"/>
      <c r="E360" s="60"/>
      <c r="F360" s="393"/>
      <c r="G360" s="394"/>
      <c r="H360" s="60"/>
      <c r="I360" s="395"/>
      <c r="J360" s="395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</row>
    <row r="361" ht="15.75" customHeight="1">
      <c r="A361" s="60"/>
      <c r="B361" s="60"/>
      <c r="C361" s="60"/>
      <c r="D361" s="60"/>
      <c r="E361" s="60"/>
      <c r="F361" s="393"/>
      <c r="G361" s="394"/>
      <c r="H361" s="60"/>
      <c r="I361" s="395"/>
      <c r="J361" s="395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</row>
    <row r="362" ht="15.75" customHeight="1">
      <c r="A362" s="60"/>
      <c r="B362" s="60"/>
      <c r="C362" s="60"/>
      <c r="D362" s="60"/>
      <c r="E362" s="60"/>
      <c r="F362" s="393"/>
      <c r="G362" s="394"/>
      <c r="H362" s="60"/>
      <c r="I362" s="395"/>
      <c r="J362" s="395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</row>
    <row r="363" ht="15.75" customHeight="1">
      <c r="A363" s="60"/>
      <c r="B363" s="60"/>
      <c r="C363" s="60"/>
      <c r="D363" s="60"/>
      <c r="E363" s="60"/>
      <c r="F363" s="393"/>
      <c r="G363" s="394"/>
      <c r="H363" s="60"/>
      <c r="I363" s="395"/>
      <c r="J363" s="395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</row>
    <row r="364" ht="15.75" customHeight="1">
      <c r="A364" s="60"/>
      <c r="B364" s="60"/>
      <c r="C364" s="60"/>
      <c r="D364" s="60"/>
      <c r="E364" s="60"/>
      <c r="F364" s="393"/>
      <c r="G364" s="394"/>
      <c r="H364" s="60"/>
      <c r="I364" s="395"/>
      <c r="J364" s="395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</row>
    <row r="365" ht="15.75" customHeight="1">
      <c r="A365" s="60"/>
      <c r="B365" s="60"/>
      <c r="C365" s="60"/>
      <c r="D365" s="60"/>
      <c r="E365" s="60"/>
      <c r="F365" s="393"/>
      <c r="G365" s="394"/>
      <c r="H365" s="60"/>
      <c r="I365" s="395"/>
      <c r="J365" s="395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</row>
    <row r="366" ht="15.75" customHeight="1">
      <c r="A366" s="60"/>
      <c r="B366" s="60"/>
      <c r="C366" s="60"/>
      <c r="D366" s="60"/>
      <c r="E366" s="60"/>
      <c r="F366" s="393"/>
      <c r="G366" s="394"/>
      <c r="H366" s="60"/>
      <c r="I366" s="395"/>
      <c r="J366" s="395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</row>
    <row r="367" ht="15.75" customHeight="1">
      <c r="A367" s="60"/>
      <c r="B367" s="60"/>
      <c r="C367" s="60"/>
      <c r="D367" s="60"/>
      <c r="E367" s="60"/>
      <c r="F367" s="393"/>
      <c r="G367" s="394"/>
      <c r="H367" s="60"/>
      <c r="I367" s="395"/>
      <c r="J367" s="395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</row>
    <row r="368" ht="15.75" customHeight="1">
      <c r="A368" s="60"/>
      <c r="B368" s="60"/>
      <c r="C368" s="60"/>
      <c r="D368" s="60"/>
      <c r="E368" s="60"/>
      <c r="F368" s="393"/>
      <c r="G368" s="394"/>
      <c r="H368" s="60"/>
      <c r="I368" s="395"/>
      <c r="J368" s="395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</row>
    <row r="369" ht="15.75" customHeight="1">
      <c r="A369" s="60"/>
      <c r="B369" s="60"/>
      <c r="C369" s="60"/>
      <c r="D369" s="60"/>
      <c r="E369" s="60"/>
      <c r="F369" s="393"/>
      <c r="G369" s="394"/>
      <c r="H369" s="60"/>
      <c r="I369" s="395"/>
      <c r="J369" s="395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</row>
    <row r="370" ht="15.75" customHeight="1">
      <c r="A370" s="60"/>
      <c r="B370" s="60"/>
      <c r="C370" s="60"/>
      <c r="D370" s="60"/>
      <c r="E370" s="60"/>
      <c r="F370" s="393"/>
      <c r="G370" s="394"/>
      <c r="H370" s="60"/>
      <c r="I370" s="395"/>
      <c r="J370" s="395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</row>
    <row r="371" ht="15.75" customHeight="1">
      <c r="A371" s="60"/>
      <c r="B371" s="60"/>
      <c r="C371" s="60"/>
      <c r="D371" s="60"/>
      <c r="E371" s="60"/>
      <c r="F371" s="393"/>
      <c r="G371" s="394"/>
      <c r="H371" s="60"/>
      <c r="I371" s="395"/>
      <c r="J371" s="395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</row>
    <row r="372" ht="15.75" customHeight="1">
      <c r="A372" s="60"/>
      <c r="B372" s="60"/>
      <c r="C372" s="60"/>
      <c r="D372" s="60"/>
      <c r="E372" s="60"/>
      <c r="F372" s="393"/>
      <c r="G372" s="394"/>
      <c r="H372" s="60"/>
      <c r="I372" s="395"/>
      <c r="J372" s="395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</row>
    <row r="373" ht="15.75" customHeight="1">
      <c r="A373" s="60"/>
      <c r="B373" s="60"/>
      <c r="C373" s="60"/>
      <c r="D373" s="60"/>
      <c r="E373" s="60"/>
      <c r="F373" s="393"/>
      <c r="G373" s="394"/>
      <c r="H373" s="60"/>
      <c r="I373" s="395"/>
      <c r="J373" s="395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</row>
    <row r="374" ht="15.75" customHeight="1">
      <c r="A374" s="60"/>
      <c r="B374" s="60"/>
      <c r="C374" s="60"/>
      <c r="D374" s="60"/>
      <c r="E374" s="60"/>
      <c r="F374" s="393"/>
      <c r="G374" s="394"/>
      <c r="H374" s="60"/>
      <c r="I374" s="395"/>
      <c r="J374" s="395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</row>
    <row r="375" ht="15.75" customHeight="1">
      <c r="A375" s="60"/>
      <c r="B375" s="60"/>
      <c r="C375" s="60"/>
      <c r="D375" s="60"/>
      <c r="E375" s="60"/>
      <c r="F375" s="393"/>
      <c r="G375" s="394"/>
      <c r="H375" s="60"/>
      <c r="I375" s="395"/>
      <c r="J375" s="395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</row>
    <row r="376" ht="15.75" customHeight="1">
      <c r="A376" s="60"/>
      <c r="B376" s="60"/>
      <c r="C376" s="60"/>
      <c r="D376" s="60"/>
      <c r="E376" s="60"/>
      <c r="F376" s="393"/>
      <c r="G376" s="394"/>
      <c r="H376" s="60"/>
      <c r="I376" s="395"/>
      <c r="J376" s="395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</row>
    <row r="377" ht="15.75" customHeight="1">
      <c r="A377" s="60"/>
      <c r="B377" s="60"/>
      <c r="C377" s="60"/>
      <c r="D377" s="60"/>
      <c r="E377" s="60"/>
      <c r="F377" s="393"/>
      <c r="G377" s="394"/>
      <c r="H377" s="60"/>
      <c r="I377" s="395"/>
      <c r="J377" s="395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</row>
    <row r="378" ht="15.75" customHeight="1">
      <c r="A378" s="60"/>
      <c r="B378" s="60"/>
      <c r="C378" s="60"/>
      <c r="D378" s="60"/>
      <c r="E378" s="60"/>
      <c r="F378" s="393"/>
      <c r="G378" s="394"/>
      <c r="H378" s="60"/>
      <c r="I378" s="395"/>
      <c r="J378" s="395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</row>
    <row r="379" ht="15.75" customHeight="1">
      <c r="A379" s="60"/>
      <c r="B379" s="60"/>
      <c r="C379" s="60"/>
      <c r="D379" s="60"/>
      <c r="E379" s="60"/>
      <c r="F379" s="393"/>
      <c r="G379" s="394"/>
      <c r="H379" s="60"/>
      <c r="I379" s="395"/>
      <c r="J379" s="395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</row>
    <row r="380" ht="15.75" customHeight="1">
      <c r="A380" s="60"/>
      <c r="B380" s="60"/>
      <c r="C380" s="60"/>
      <c r="D380" s="60"/>
      <c r="E380" s="60"/>
      <c r="F380" s="393"/>
      <c r="G380" s="394"/>
      <c r="H380" s="60"/>
      <c r="I380" s="395"/>
      <c r="J380" s="395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</row>
    <row r="381" ht="15.75" customHeight="1">
      <c r="A381" s="60"/>
      <c r="B381" s="60"/>
      <c r="C381" s="60"/>
      <c r="D381" s="60"/>
      <c r="E381" s="60"/>
      <c r="F381" s="393"/>
      <c r="G381" s="394"/>
      <c r="H381" s="60"/>
      <c r="I381" s="395"/>
      <c r="J381" s="395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</row>
    <row r="382" ht="15.75" customHeight="1">
      <c r="A382" s="60"/>
      <c r="B382" s="60"/>
      <c r="C382" s="60"/>
      <c r="D382" s="60"/>
      <c r="E382" s="60"/>
      <c r="F382" s="393"/>
      <c r="G382" s="394"/>
      <c r="H382" s="60"/>
      <c r="I382" s="395"/>
      <c r="J382" s="395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</row>
    <row r="383" ht="15.75" customHeight="1">
      <c r="A383" s="60"/>
      <c r="B383" s="60"/>
      <c r="C383" s="60"/>
      <c r="D383" s="60"/>
      <c r="E383" s="60"/>
      <c r="F383" s="393"/>
      <c r="G383" s="394"/>
      <c r="H383" s="60"/>
      <c r="I383" s="395"/>
      <c r="J383" s="395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</row>
    <row r="384" ht="15.75" customHeight="1">
      <c r="A384" s="60"/>
      <c r="B384" s="60"/>
      <c r="C384" s="60"/>
      <c r="D384" s="60"/>
      <c r="E384" s="60"/>
      <c r="F384" s="393"/>
      <c r="G384" s="394"/>
      <c r="H384" s="60"/>
      <c r="I384" s="395"/>
      <c r="J384" s="395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</row>
    <row r="385" ht="15.75" customHeight="1">
      <c r="A385" s="60"/>
      <c r="B385" s="60"/>
      <c r="C385" s="60"/>
      <c r="D385" s="60"/>
      <c r="E385" s="60"/>
      <c r="F385" s="393"/>
      <c r="G385" s="394"/>
      <c r="H385" s="60"/>
      <c r="I385" s="395"/>
      <c r="J385" s="395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</row>
    <row r="386" ht="15.75" customHeight="1">
      <c r="A386" s="60"/>
      <c r="B386" s="60"/>
      <c r="C386" s="60"/>
      <c r="D386" s="60"/>
      <c r="E386" s="60"/>
      <c r="F386" s="393"/>
      <c r="G386" s="394"/>
      <c r="H386" s="60"/>
      <c r="I386" s="395"/>
      <c r="J386" s="395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</row>
    <row r="387" ht="15.75" customHeight="1">
      <c r="A387" s="60"/>
      <c r="B387" s="60"/>
      <c r="C387" s="60"/>
      <c r="D387" s="60"/>
      <c r="E387" s="60"/>
      <c r="F387" s="393"/>
      <c r="G387" s="394"/>
      <c r="H387" s="60"/>
      <c r="I387" s="395"/>
      <c r="J387" s="395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</row>
    <row r="388" ht="15.75" customHeight="1">
      <c r="A388" s="60"/>
      <c r="B388" s="60"/>
      <c r="C388" s="60"/>
      <c r="D388" s="60"/>
      <c r="E388" s="60"/>
      <c r="F388" s="393"/>
      <c r="G388" s="394"/>
      <c r="H388" s="60"/>
      <c r="I388" s="395"/>
      <c r="J388" s="395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</row>
    <row r="389" ht="15.75" customHeight="1">
      <c r="A389" s="60"/>
      <c r="B389" s="60"/>
      <c r="C389" s="60"/>
      <c r="D389" s="60"/>
      <c r="E389" s="60"/>
      <c r="F389" s="393"/>
      <c r="G389" s="394"/>
      <c r="H389" s="60"/>
      <c r="I389" s="395"/>
      <c r="J389" s="395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</row>
    <row r="390" ht="15.75" customHeight="1">
      <c r="A390" s="60"/>
      <c r="B390" s="60"/>
      <c r="C390" s="60"/>
      <c r="D390" s="60"/>
      <c r="E390" s="60"/>
      <c r="F390" s="393"/>
      <c r="G390" s="394"/>
      <c r="H390" s="60"/>
      <c r="I390" s="395"/>
      <c r="J390" s="395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</row>
    <row r="391" ht="15.75" customHeight="1">
      <c r="A391" s="60"/>
      <c r="B391" s="60"/>
      <c r="C391" s="60"/>
      <c r="D391" s="60"/>
      <c r="E391" s="60"/>
      <c r="F391" s="393"/>
      <c r="G391" s="394"/>
      <c r="H391" s="60"/>
      <c r="I391" s="395"/>
      <c r="J391" s="395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</row>
    <row r="392" ht="15.75" customHeight="1">
      <c r="A392" s="60"/>
      <c r="B392" s="60"/>
      <c r="C392" s="60"/>
      <c r="D392" s="60"/>
      <c r="E392" s="60"/>
      <c r="F392" s="393"/>
      <c r="G392" s="394"/>
      <c r="H392" s="60"/>
      <c r="I392" s="395"/>
      <c r="J392" s="395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</row>
    <row r="393" ht="15.75" customHeight="1">
      <c r="A393" s="60"/>
      <c r="B393" s="60"/>
      <c r="C393" s="60"/>
      <c r="D393" s="60"/>
      <c r="E393" s="60"/>
      <c r="F393" s="393"/>
      <c r="G393" s="394"/>
      <c r="H393" s="60"/>
      <c r="I393" s="395"/>
      <c r="J393" s="395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</row>
    <row r="394" ht="15.75" customHeight="1">
      <c r="A394" s="60"/>
      <c r="B394" s="60"/>
      <c r="C394" s="60"/>
      <c r="D394" s="60"/>
      <c r="E394" s="60"/>
      <c r="F394" s="393"/>
      <c r="G394" s="394"/>
      <c r="H394" s="60"/>
      <c r="I394" s="395"/>
      <c r="J394" s="395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</row>
    <row r="395" ht="15.75" customHeight="1">
      <c r="A395" s="60"/>
      <c r="B395" s="60"/>
      <c r="C395" s="60"/>
      <c r="D395" s="60"/>
      <c r="E395" s="60"/>
      <c r="F395" s="393"/>
      <c r="G395" s="394"/>
      <c r="H395" s="60"/>
      <c r="I395" s="395"/>
      <c r="J395" s="395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</row>
    <row r="396" ht="15.75" customHeight="1">
      <c r="A396" s="60"/>
      <c r="B396" s="60"/>
      <c r="C396" s="60"/>
      <c r="D396" s="60"/>
      <c r="E396" s="60"/>
      <c r="F396" s="393"/>
      <c r="G396" s="394"/>
      <c r="H396" s="60"/>
      <c r="I396" s="395"/>
      <c r="J396" s="395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</row>
    <row r="397" ht="15.75" customHeight="1">
      <c r="A397" s="60"/>
      <c r="B397" s="60"/>
      <c r="C397" s="60"/>
      <c r="D397" s="60"/>
      <c r="E397" s="60"/>
      <c r="F397" s="393"/>
      <c r="G397" s="394"/>
      <c r="H397" s="60"/>
      <c r="I397" s="395"/>
      <c r="J397" s="395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</row>
    <row r="398" ht="15.75" customHeight="1">
      <c r="A398" s="60"/>
      <c r="B398" s="60"/>
      <c r="C398" s="60"/>
      <c r="D398" s="60"/>
      <c r="E398" s="60"/>
      <c r="F398" s="393"/>
      <c r="G398" s="394"/>
      <c r="H398" s="60"/>
      <c r="I398" s="395"/>
      <c r="J398" s="395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</row>
    <row r="399" ht="15.75" customHeight="1">
      <c r="A399" s="60"/>
      <c r="B399" s="60"/>
      <c r="C399" s="60"/>
      <c r="D399" s="60"/>
      <c r="E399" s="60"/>
      <c r="F399" s="393"/>
      <c r="G399" s="394"/>
      <c r="H399" s="60"/>
      <c r="I399" s="395"/>
      <c r="J399" s="395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</row>
    <row r="400" ht="15.75" customHeight="1">
      <c r="A400" s="60"/>
      <c r="B400" s="60"/>
      <c r="C400" s="60"/>
      <c r="D400" s="60"/>
      <c r="E400" s="60"/>
      <c r="F400" s="393"/>
      <c r="G400" s="394"/>
      <c r="H400" s="60"/>
      <c r="I400" s="395"/>
      <c r="J400" s="395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</row>
    <row r="401" ht="15.75" customHeight="1">
      <c r="A401" s="60"/>
      <c r="B401" s="60"/>
      <c r="C401" s="60"/>
      <c r="D401" s="60"/>
      <c r="E401" s="60"/>
      <c r="F401" s="393"/>
      <c r="G401" s="394"/>
      <c r="H401" s="60"/>
      <c r="I401" s="395"/>
      <c r="J401" s="395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</row>
    <row r="402" ht="15.75" customHeight="1">
      <c r="A402" s="60"/>
      <c r="B402" s="60"/>
      <c r="C402" s="60"/>
      <c r="D402" s="60"/>
      <c r="E402" s="60"/>
      <c r="F402" s="393"/>
      <c r="G402" s="394"/>
      <c r="H402" s="60"/>
      <c r="I402" s="395"/>
      <c r="J402" s="395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</row>
    <row r="403" ht="15.75" customHeight="1">
      <c r="A403" s="60"/>
      <c r="B403" s="60"/>
      <c r="C403" s="60"/>
      <c r="D403" s="60"/>
      <c r="E403" s="60"/>
      <c r="F403" s="393"/>
      <c r="G403" s="394"/>
      <c r="H403" s="60"/>
      <c r="I403" s="395"/>
      <c r="J403" s="395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</row>
    <row r="404" ht="15.75" customHeight="1">
      <c r="A404" s="60"/>
      <c r="B404" s="60"/>
      <c r="C404" s="60"/>
      <c r="D404" s="60"/>
      <c r="E404" s="60"/>
      <c r="F404" s="393"/>
      <c r="G404" s="394"/>
      <c r="H404" s="60"/>
      <c r="I404" s="395"/>
      <c r="J404" s="395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</row>
    <row r="405" ht="15.75" customHeight="1">
      <c r="A405" s="60"/>
      <c r="B405" s="60"/>
      <c r="C405" s="60"/>
      <c r="D405" s="60"/>
      <c r="E405" s="60"/>
      <c r="F405" s="393"/>
      <c r="G405" s="394"/>
      <c r="H405" s="60"/>
      <c r="I405" s="395"/>
      <c r="J405" s="395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</row>
    <row r="406" ht="15.75" customHeight="1">
      <c r="A406" s="60"/>
      <c r="B406" s="60"/>
      <c r="C406" s="60"/>
      <c r="D406" s="60"/>
      <c r="E406" s="60"/>
      <c r="F406" s="393"/>
      <c r="G406" s="394"/>
      <c r="H406" s="60"/>
      <c r="I406" s="395"/>
      <c r="J406" s="395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</row>
    <row r="407" ht="15.75" customHeight="1">
      <c r="A407" s="60"/>
      <c r="B407" s="60"/>
      <c r="C407" s="60"/>
      <c r="D407" s="60"/>
      <c r="E407" s="60"/>
      <c r="F407" s="393"/>
      <c r="G407" s="394"/>
      <c r="H407" s="60"/>
      <c r="I407" s="395"/>
      <c r="J407" s="395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</row>
    <row r="408" ht="15.75" customHeight="1">
      <c r="A408" s="60"/>
      <c r="B408" s="60"/>
      <c r="C408" s="60"/>
      <c r="D408" s="60"/>
      <c r="E408" s="60"/>
      <c r="F408" s="393"/>
      <c r="G408" s="394"/>
      <c r="H408" s="60"/>
      <c r="I408" s="395"/>
      <c r="J408" s="395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</row>
    <row r="409" ht="15.75" customHeight="1">
      <c r="A409" s="60"/>
      <c r="B409" s="60"/>
      <c r="C409" s="60"/>
      <c r="D409" s="60"/>
      <c r="E409" s="60"/>
      <c r="F409" s="393"/>
      <c r="G409" s="394"/>
      <c r="H409" s="60"/>
      <c r="I409" s="395"/>
      <c r="J409" s="395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</row>
    <row r="410" ht="15.75" customHeight="1">
      <c r="A410" s="60"/>
      <c r="B410" s="60"/>
      <c r="C410" s="60"/>
      <c r="D410" s="60"/>
      <c r="E410" s="60"/>
      <c r="F410" s="393"/>
      <c r="G410" s="394"/>
      <c r="H410" s="60"/>
      <c r="I410" s="395"/>
      <c r="J410" s="395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</row>
    <row r="411" ht="15.75" customHeight="1">
      <c r="A411" s="60"/>
      <c r="B411" s="60"/>
      <c r="C411" s="60"/>
      <c r="D411" s="60"/>
      <c r="E411" s="60"/>
      <c r="F411" s="393"/>
      <c r="G411" s="394"/>
      <c r="H411" s="60"/>
      <c r="I411" s="395"/>
      <c r="J411" s="395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</row>
    <row r="412" ht="15.75" customHeight="1">
      <c r="A412" s="60"/>
      <c r="B412" s="60"/>
      <c r="C412" s="60"/>
      <c r="D412" s="60"/>
      <c r="E412" s="60"/>
      <c r="F412" s="393"/>
      <c r="G412" s="394"/>
      <c r="H412" s="60"/>
      <c r="I412" s="395"/>
      <c r="J412" s="395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</row>
    <row r="413" ht="15.75" customHeight="1">
      <c r="A413" s="60"/>
      <c r="B413" s="60"/>
      <c r="C413" s="60"/>
      <c r="D413" s="60"/>
      <c r="E413" s="60"/>
      <c r="F413" s="393"/>
      <c r="G413" s="394"/>
      <c r="H413" s="60"/>
      <c r="I413" s="395"/>
      <c r="J413" s="395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</row>
    <row r="414" ht="15.75" customHeight="1">
      <c r="A414" s="60"/>
      <c r="B414" s="60"/>
      <c r="C414" s="60"/>
      <c r="D414" s="60"/>
      <c r="E414" s="60"/>
      <c r="F414" s="393"/>
      <c r="G414" s="394"/>
      <c r="H414" s="60"/>
      <c r="I414" s="395"/>
      <c r="J414" s="395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</row>
    <row r="415" ht="15.75" customHeight="1">
      <c r="A415" s="60"/>
      <c r="B415" s="60"/>
      <c r="C415" s="60"/>
      <c r="D415" s="60"/>
      <c r="E415" s="60"/>
      <c r="F415" s="393"/>
      <c r="G415" s="394"/>
      <c r="H415" s="60"/>
      <c r="I415" s="395"/>
      <c r="J415" s="395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</row>
    <row r="416" ht="15.75" customHeight="1">
      <c r="A416" s="60"/>
      <c r="B416" s="60"/>
      <c r="C416" s="60"/>
      <c r="D416" s="60"/>
      <c r="E416" s="60"/>
      <c r="F416" s="393"/>
      <c r="G416" s="394"/>
      <c r="H416" s="60"/>
      <c r="I416" s="395"/>
      <c r="J416" s="395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</row>
    <row r="417" ht="15.75" customHeight="1">
      <c r="A417" s="60"/>
      <c r="B417" s="60"/>
      <c r="C417" s="60"/>
      <c r="D417" s="60"/>
      <c r="E417" s="60"/>
      <c r="F417" s="393"/>
      <c r="G417" s="394"/>
      <c r="H417" s="60"/>
      <c r="I417" s="395"/>
      <c r="J417" s="395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</row>
    <row r="418" ht="15.75" customHeight="1">
      <c r="A418" s="60"/>
      <c r="B418" s="60"/>
      <c r="C418" s="60"/>
      <c r="D418" s="60"/>
      <c r="E418" s="60"/>
      <c r="F418" s="393"/>
      <c r="G418" s="394"/>
      <c r="H418" s="60"/>
      <c r="I418" s="395"/>
      <c r="J418" s="395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</row>
    <row r="419" ht="15.75" customHeight="1">
      <c r="A419" s="60"/>
      <c r="B419" s="60"/>
      <c r="C419" s="60"/>
      <c r="D419" s="60"/>
      <c r="E419" s="60"/>
      <c r="F419" s="393"/>
      <c r="G419" s="394"/>
      <c r="H419" s="60"/>
      <c r="I419" s="395"/>
      <c r="J419" s="395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</row>
    <row r="420" ht="15.75" customHeight="1">
      <c r="A420" s="60"/>
      <c r="B420" s="60"/>
      <c r="C420" s="60"/>
      <c r="D420" s="60"/>
      <c r="E420" s="60"/>
      <c r="F420" s="393"/>
      <c r="G420" s="394"/>
      <c r="H420" s="60"/>
      <c r="I420" s="395"/>
      <c r="J420" s="395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</row>
    <row r="421" ht="15.75" customHeight="1">
      <c r="A421" s="60"/>
      <c r="B421" s="60"/>
      <c r="C421" s="60"/>
      <c r="D421" s="60"/>
      <c r="E421" s="60"/>
      <c r="F421" s="393"/>
      <c r="G421" s="394"/>
      <c r="H421" s="60"/>
      <c r="I421" s="395"/>
      <c r="J421" s="395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</row>
    <row r="422" ht="15.75" customHeight="1">
      <c r="A422" s="60"/>
      <c r="B422" s="60"/>
      <c r="C422" s="60"/>
      <c r="D422" s="60"/>
      <c r="E422" s="60"/>
      <c r="F422" s="393"/>
      <c r="G422" s="394"/>
      <c r="H422" s="60"/>
      <c r="I422" s="395"/>
      <c r="J422" s="395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</row>
    <row r="423" ht="15.75" customHeight="1">
      <c r="A423" s="60"/>
      <c r="B423" s="60"/>
      <c r="C423" s="60"/>
      <c r="D423" s="60"/>
      <c r="E423" s="60"/>
      <c r="F423" s="393"/>
      <c r="G423" s="394"/>
      <c r="H423" s="60"/>
      <c r="I423" s="395"/>
      <c r="J423" s="395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</row>
    <row r="424" ht="15.75" customHeight="1">
      <c r="A424" s="60"/>
      <c r="B424" s="60"/>
      <c r="C424" s="60"/>
      <c r="D424" s="60"/>
      <c r="E424" s="60"/>
      <c r="F424" s="393"/>
      <c r="G424" s="394"/>
      <c r="H424" s="60"/>
      <c r="I424" s="395"/>
      <c r="J424" s="395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</row>
    <row r="425" ht="15.75" customHeight="1">
      <c r="A425" s="60"/>
      <c r="B425" s="60"/>
      <c r="C425" s="60"/>
      <c r="D425" s="60"/>
      <c r="E425" s="60"/>
      <c r="F425" s="393"/>
      <c r="G425" s="394"/>
      <c r="H425" s="60"/>
      <c r="I425" s="395"/>
      <c r="J425" s="395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</row>
    <row r="426" ht="15.75" customHeight="1">
      <c r="A426" s="60"/>
      <c r="B426" s="60"/>
      <c r="C426" s="60"/>
      <c r="D426" s="60"/>
      <c r="E426" s="60"/>
      <c r="F426" s="393"/>
      <c r="G426" s="394"/>
      <c r="H426" s="60"/>
      <c r="I426" s="395"/>
      <c r="J426" s="395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</row>
    <row r="427" ht="15.75" customHeight="1">
      <c r="A427" s="60"/>
      <c r="B427" s="60"/>
      <c r="C427" s="60"/>
      <c r="D427" s="60"/>
      <c r="E427" s="60"/>
      <c r="F427" s="393"/>
      <c r="G427" s="394"/>
      <c r="H427" s="60"/>
      <c r="I427" s="395"/>
      <c r="J427" s="395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</row>
    <row r="428" ht="15.75" customHeight="1">
      <c r="A428" s="60"/>
      <c r="B428" s="60"/>
      <c r="C428" s="60"/>
      <c r="D428" s="60"/>
      <c r="E428" s="60"/>
      <c r="F428" s="393"/>
      <c r="G428" s="394"/>
      <c r="H428" s="60"/>
      <c r="I428" s="395"/>
      <c r="J428" s="395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</row>
    <row r="429" ht="15.75" customHeight="1">
      <c r="A429" s="60"/>
      <c r="B429" s="60"/>
      <c r="C429" s="60"/>
      <c r="D429" s="60"/>
      <c r="E429" s="60"/>
      <c r="F429" s="393"/>
      <c r="G429" s="394"/>
      <c r="H429" s="60"/>
      <c r="I429" s="395"/>
      <c r="J429" s="395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</row>
    <row r="430" ht="15.75" customHeight="1">
      <c r="A430" s="60"/>
      <c r="B430" s="60"/>
      <c r="C430" s="60"/>
      <c r="D430" s="60"/>
      <c r="E430" s="60"/>
      <c r="F430" s="393"/>
      <c r="G430" s="394"/>
      <c r="H430" s="60"/>
      <c r="I430" s="395"/>
      <c r="J430" s="395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</row>
    <row r="431" ht="15.75" customHeight="1">
      <c r="A431" s="60"/>
      <c r="B431" s="60"/>
      <c r="C431" s="60"/>
      <c r="D431" s="60"/>
      <c r="E431" s="60"/>
      <c r="F431" s="393"/>
      <c r="G431" s="394"/>
      <c r="H431" s="60"/>
      <c r="I431" s="395"/>
      <c r="J431" s="395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</row>
    <row r="432" ht="15.75" customHeight="1">
      <c r="A432" s="60"/>
      <c r="B432" s="60"/>
      <c r="C432" s="60"/>
      <c r="D432" s="60"/>
      <c r="E432" s="60"/>
      <c r="F432" s="393"/>
      <c r="G432" s="394"/>
      <c r="H432" s="60"/>
      <c r="I432" s="395"/>
      <c r="J432" s="395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</row>
    <row r="433" ht="15.75" customHeight="1">
      <c r="A433" s="60"/>
      <c r="B433" s="60"/>
      <c r="C433" s="60"/>
      <c r="D433" s="60"/>
      <c r="E433" s="60"/>
      <c r="F433" s="393"/>
      <c r="G433" s="394"/>
      <c r="H433" s="60"/>
      <c r="I433" s="395"/>
      <c r="J433" s="395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</row>
    <row r="434" ht="15.75" customHeight="1">
      <c r="A434" s="60"/>
      <c r="B434" s="60"/>
      <c r="C434" s="60"/>
      <c r="D434" s="60"/>
      <c r="E434" s="60"/>
      <c r="F434" s="393"/>
      <c r="G434" s="394"/>
      <c r="H434" s="60"/>
      <c r="I434" s="395"/>
      <c r="J434" s="395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</row>
    <row r="435" ht="15.75" customHeight="1">
      <c r="A435" s="60"/>
      <c r="B435" s="60"/>
      <c r="C435" s="60"/>
      <c r="D435" s="60"/>
      <c r="E435" s="60"/>
      <c r="F435" s="393"/>
      <c r="G435" s="394"/>
      <c r="H435" s="60"/>
      <c r="I435" s="395"/>
      <c r="J435" s="395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</row>
    <row r="436" ht="15.75" customHeight="1">
      <c r="A436" s="60"/>
      <c r="B436" s="60"/>
      <c r="C436" s="60"/>
      <c r="D436" s="60"/>
      <c r="E436" s="60"/>
      <c r="F436" s="393"/>
      <c r="G436" s="394"/>
      <c r="H436" s="60"/>
      <c r="I436" s="395"/>
      <c r="J436" s="395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</row>
    <row r="437" ht="15.75" customHeight="1">
      <c r="A437" s="60"/>
      <c r="B437" s="60"/>
      <c r="C437" s="60"/>
      <c r="D437" s="60"/>
      <c r="E437" s="60"/>
      <c r="F437" s="393"/>
      <c r="G437" s="394"/>
      <c r="H437" s="60"/>
      <c r="I437" s="395"/>
      <c r="J437" s="395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</row>
    <row r="438" ht="15.75" customHeight="1">
      <c r="A438" s="60"/>
      <c r="B438" s="60"/>
      <c r="C438" s="60"/>
      <c r="D438" s="60"/>
      <c r="E438" s="60"/>
      <c r="F438" s="393"/>
      <c r="G438" s="394"/>
      <c r="H438" s="60"/>
      <c r="I438" s="395"/>
      <c r="J438" s="395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</row>
    <row r="439" ht="15.75" customHeight="1">
      <c r="A439" s="60"/>
      <c r="B439" s="60"/>
      <c r="C439" s="60"/>
      <c r="D439" s="60"/>
      <c r="E439" s="60"/>
      <c r="F439" s="393"/>
      <c r="G439" s="394"/>
      <c r="H439" s="60"/>
      <c r="I439" s="395"/>
      <c r="J439" s="395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</row>
    <row r="440" ht="15.75" customHeight="1">
      <c r="A440" s="60"/>
      <c r="B440" s="60"/>
      <c r="C440" s="60"/>
      <c r="D440" s="60"/>
      <c r="E440" s="60"/>
      <c r="F440" s="393"/>
      <c r="G440" s="394"/>
      <c r="H440" s="60"/>
      <c r="I440" s="395"/>
      <c r="J440" s="395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</row>
    <row r="441" ht="15.75" customHeight="1">
      <c r="A441" s="60"/>
      <c r="B441" s="60"/>
      <c r="C441" s="60"/>
      <c r="D441" s="60"/>
      <c r="E441" s="60"/>
      <c r="F441" s="393"/>
      <c r="G441" s="394"/>
      <c r="H441" s="60"/>
      <c r="I441" s="395"/>
      <c r="J441" s="395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</row>
    <row r="442" ht="15.75" customHeight="1">
      <c r="A442" s="60"/>
      <c r="B442" s="60"/>
      <c r="C442" s="60"/>
      <c r="D442" s="60"/>
      <c r="E442" s="60"/>
      <c r="F442" s="393"/>
      <c r="G442" s="394"/>
      <c r="H442" s="60"/>
      <c r="I442" s="395"/>
      <c r="J442" s="395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</row>
    <row r="443" ht="15.75" customHeight="1">
      <c r="A443" s="60"/>
      <c r="B443" s="60"/>
      <c r="C443" s="60"/>
      <c r="D443" s="60"/>
      <c r="E443" s="60"/>
      <c r="F443" s="393"/>
      <c r="G443" s="394"/>
      <c r="H443" s="60"/>
      <c r="I443" s="395"/>
      <c r="J443" s="395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</row>
    <row r="444" ht="15.75" customHeight="1">
      <c r="A444" s="60"/>
      <c r="B444" s="60"/>
      <c r="C444" s="60"/>
      <c r="D444" s="60"/>
      <c r="E444" s="60"/>
      <c r="F444" s="393"/>
      <c r="G444" s="394"/>
      <c r="H444" s="60"/>
      <c r="I444" s="395"/>
      <c r="J444" s="395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</row>
    <row r="445" ht="15.75" customHeight="1">
      <c r="A445" s="60"/>
      <c r="B445" s="60"/>
      <c r="C445" s="60"/>
      <c r="D445" s="60"/>
      <c r="E445" s="60"/>
      <c r="F445" s="393"/>
      <c r="G445" s="394"/>
      <c r="H445" s="60"/>
      <c r="I445" s="395"/>
      <c r="J445" s="395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</row>
    <row r="446" ht="15.75" customHeight="1">
      <c r="A446" s="60"/>
      <c r="B446" s="60"/>
      <c r="C446" s="60"/>
      <c r="D446" s="60"/>
      <c r="E446" s="60"/>
      <c r="F446" s="393"/>
      <c r="G446" s="394"/>
      <c r="H446" s="60"/>
      <c r="I446" s="395"/>
      <c r="J446" s="395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</row>
    <row r="447" ht="15.75" customHeight="1">
      <c r="A447" s="60"/>
      <c r="B447" s="60"/>
      <c r="C447" s="60"/>
      <c r="D447" s="60"/>
      <c r="E447" s="60"/>
      <c r="F447" s="393"/>
      <c r="G447" s="394"/>
      <c r="H447" s="60"/>
      <c r="I447" s="395"/>
      <c r="J447" s="395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</row>
    <row r="448" ht="15.75" customHeight="1">
      <c r="A448" s="60"/>
      <c r="B448" s="60"/>
      <c r="C448" s="60"/>
      <c r="D448" s="60"/>
      <c r="E448" s="60"/>
      <c r="F448" s="393"/>
      <c r="G448" s="394"/>
      <c r="H448" s="60"/>
      <c r="I448" s="395"/>
      <c r="J448" s="395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</row>
    <row r="449" ht="15.75" customHeight="1">
      <c r="A449" s="60"/>
      <c r="B449" s="60"/>
      <c r="C449" s="60"/>
      <c r="D449" s="60"/>
      <c r="E449" s="60"/>
      <c r="F449" s="393"/>
      <c r="G449" s="394"/>
      <c r="H449" s="60"/>
      <c r="I449" s="395"/>
      <c r="J449" s="395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</row>
    <row r="450" ht="15.75" customHeight="1">
      <c r="A450" s="60"/>
      <c r="B450" s="60"/>
      <c r="C450" s="60"/>
      <c r="D450" s="60"/>
      <c r="E450" s="60"/>
      <c r="F450" s="393"/>
      <c r="G450" s="394"/>
      <c r="H450" s="60"/>
      <c r="I450" s="395"/>
      <c r="J450" s="395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</row>
    <row r="451" ht="15.75" customHeight="1">
      <c r="A451" s="60"/>
      <c r="B451" s="60"/>
      <c r="C451" s="60"/>
      <c r="D451" s="60"/>
      <c r="E451" s="60"/>
      <c r="F451" s="393"/>
      <c r="G451" s="394"/>
      <c r="H451" s="60"/>
      <c r="I451" s="395"/>
      <c r="J451" s="395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</row>
    <row r="452" ht="15.75" customHeight="1">
      <c r="A452" s="60"/>
      <c r="B452" s="60"/>
      <c r="C452" s="60"/>
      <c r="D452" s="60"/>
      <c r="E452" s="60"/>
      <c r="F452" s="393"/>
      <c r="G452" s="394"/>
      <c r="H452" s="60"/>
      <c r="I452" s="395"/>
      <c r="J452" s="395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</row>
    <row r="453" ht="15.75" customHeight="1">
      <c r="A453" s="60"/>
      <c r="B453" s="60"/>
      <c r="C453" s="60"/>
      <c r="D453" s="60"/>
      <c r="E453" s="60"/>
      <c r="F453" s="393"/>
      <c r="G453" s="394"/>
      <c r="H453" s="60"/>
      <c r="I453" s="395"/>
      <c r="J453" s="395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</row>
    <row r="454" ht="15.75" customHeight="1">
      <c r="A454" s="60"/>
      <c r="B454" s="60"/>
      <c r="C454" s="60"/>
      <c r="D454" s="60"/>
      <c r="E454" s="60"/>
      <c r="F454" s="393"/>
      <c r="G454" s="394"/>
      <c r="H454" s="60"/>
      <c r="I454" s="395"/>
      <c r="J454" s="395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</row>
    <row r="455" ht="15.75" customHeight="1">
      <c r="A455" s="60"/>
      <c r="B455" s="60"/>
      <c r="C455" s="60"/>
      <c r="D455" s="60"/>
      <c r="E455" s="60"/>
      <c r="F455" s="393"/>
      <c r="G455" s="394"/>
      <c r="H455" s="60"/>
      <c r="I455" s="395"/>
      <c r="J455" s="395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</row>
    <row r="456" ht="15.75" customHeight="1">
      <c r="A456" s="60"/>
      <c r="B456" s="60"/>
      <c r="C456" s="60"/>
      <c r="D456" s="60"/>
      <c r="E456" s="60"/>
      <c r="F456" s="393"/>
      <c r="G456" s="394"/>
      <c r="H456" s="60"/>
      <c r="I456" s="395"/>
      <c r="J456" s="395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</row>
    <row r="457" ht="15.75" customHeight="1">
      <c r="A457" s="60"/>
      <c r="B457" s="60"/>
      <c r="C457" s="60"/>
      <c r="D457" s="60"/>
      <c r="E457" s="60"/>
      <c r="F457" s="393"/>
      <c r="G457" s="394"/>
      <c r="H457" s="60"/>
      <c r="I457" s="395"/>
      <c r="J457" s="395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</row>
    <row r="458" ht="15.75" customHeight="1">
      <c r="A458" s="60"/>
      <c r="B458" s="60"/>
      <c r="C458" s="60"/>
      <c r="D458" s="60"/>
      <c r="E458" s="60"/>
      <c r="F458" s="393"/>
      <c r="G458" s="394"/>
      <c r="H458" s="60"/>
      <c r="I458" s="395"/>
      <c r="J458" s="395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</row>
    <row r="459" ht="15.75" customHeight="1">
      <c r="A459" s="60"/>
      <c r="B459" s="60"/>
      <c r="C459" s="60"/>
      <c r="D459" s="60"/>
      <c r="E459" s="60"/>
      <c r="F459" s="393"/>
      <c r="G459" s="394"/>
      <c r="H459" s="60"/>
      <c r="I459" s="395"/>
      <c r="J459" s="395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</row>
    <row r="460" ht="15.75" customHeight="1">
      <c r="A460" s="60"/>
      <c r="B460" s="60"/>
      <c r="C460" s="60"/>
      <c r="D460" s="60"/>
      <c r="E460" s="60"/>
      <c r="F460" s="393"/>
      <c r="G460" s="394"/>
      <c r="H460" s="60"/>
      <c r="I460" s="395"/>
      <c r="J460" s="395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</row>
    <row r="461" ht="15.75" customHeight="1">
      <c r="A461" s="60"/>
      <c r="B461" s="60"/>
      <c r="C461" s="60"/>
      <c r="D461" s="60"/>
      <c r="E461" s="60"/>
      <c r="F461" s="393"/>
      <c r="G461" s="394"/>
      <c r="H461" s="60"/>
      <c r="I461" s="395"/>
      <c r="J461" s="395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</row>
    <row r="462" ht="15.75" customHeight="1">
      <c r="A462" s="60"/>
      <c r="B462" s="60"/>
      <c r="C462" s="60"/>
      <c r="D462" s="60"/>
      <c r="E462" s="60"/>
      <c r="F462" s="393"/>
      <c r="G462" s="394"/>
      <c r="H462" s="60"/>
      <c r="I462" s="395"/>
      <c r="J462" s="395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</row>
    <row r="463" ht="15.75" customHeight="1">
      <c r="A463" s="60"/>
      <c r="B463" s="60"/>
      <c r="C463" s="60"/>
      <c r="D463" s="60"/>
      <c r="E463" s="60"/>
      <c r="F463" s="393"/>
      <c r="G463" s="394"/>
      <c r="H463" s="60"/>
      <c r="I463" s="395"/>
      <c r="J463" s="395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</row>
    <row r="464" ht="15.75" customHeight="1">
      <c r="A464" s="60"/>
      <c r="B464" s="60"/>
      <c r="C464" s="60"/>
      <c r="D464" s="60"/>
      <c r="E464" s="60"/>
      <c r="F464" s="393"/>
      <c r="G464" s="394"/>
      <c r="H464" s="60"/>
      <c r="I464" s="395"/>
      <c r="J464" s="395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</row>
    <row r="465" ht="15.75" customHeight="1">
      <c r="A465" s="60"/>
      <c r="B465" s="60"/>
      <c r="C465" s="60"/>
      <c r="D465" s="60"/>
      <c r="E465" s="60"/>
      <c r="F465" s="393"/>
      <c r="G465" s="394"/>
      <c r="H465" s="60"/>
      <c r="I465" s="395"/>
      <c r="J465" s="395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</row>
    <row r="466" ht="15.75" customHeight="1">
      <c r="A466" s="60"/>
      <c r="B466" s="60"/>
      <c r="C466" s="60"/>
      <c r="D466" s="60"/>
      <c r="E466" s="60"/>
      <c r="F466" s="393"/>
      <c r="G466" s="394"/>
      <c r="H466" s="60"/>
      <c r="I466" s="395"/>
      <c r="J466" s="395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</row>
    <row r="467" ht="15.75" customHeight="1">
      <c r="A467" s="60"/>
      <c r="B467" s="60"/>
      <c r="C467" s="60"/>
      <c r="D467" s="60"/>
      <c r="E467" s="60"/>
      <c r="F467" s="393"/>
      <c r="G467" s="394"/>
      <c r="H467" s="60"/>
      <c r="I467" s="395"/>
      <c r="J467" s="395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</row>
    <row r="468" ht="15.75" customHeight="1">
      <c r="A468" s="60"/>
      <c r="B468" s="60"/>
      <c r="C468" s="60"/>
      <c r="D468" s="60"/>
      <c r="E468" s="60"/>
      <c r="F468" s="393"/>
      <c r="G468" s="394"/>
      <c r="H468" s="60"/>
      <c r="I468" s="395"/>
      <c r="J468" s="395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</row>
    <row r="469" ht="15.75" customHeight="1">
      <c r="A469" s="60"/>
      <c r="B469" s="60"/>
      <c r="C469" s="60"/>
      <c r="D469" s="60"/>
      <c r="E469" s="60"/>
      <c r="F469" s="393"/>
      <c r="G469" s="394"/>
      <c r="H469" s="60"/>
      <c r="I469" s="395"/>
      <c r="J469" s="395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</row>
    <row r="470" ht="15.75" customHeight="1">
      <c r="A470" s="60"/>
      <c r="B470" s="60"/>
      <c r="C470" s="60"/>
      <c r="D470" s="60"/>
      <c r="E470" s="60"/>
      <c r="F470" s="393"/>
      <c r="G470" s="394"/>
      <c r="H470" s="60"/>
      <c r="I470" s="395"/>
      <c r="J470" s="395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</row>
    <row r="471" ht="15.75" customHeight="1">
      <c r="A471" s="60"/>
      <c r="B471" s="60"/>
      <c r="C471" s="60"/>
      <c r="D471" s="60"/>
      <c r="E471" s="60"/>
      <c r="F471" s="393"/>
      <c r="G471" s="394"/>
      <c r="H471" s="60"/>
      <c r="I471" s="395"/>
      <c r="J471" s="395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</row>
    <row r="472" ht="15.75" customHeight="1">
      <c r="A472" s="60"/>
      <c r="B472" s="60"/>
      <c r="C472" s="60"/>
      <c r="D472" s="60"/>
      <c r="E472" s="60"/>
      <c r="F472" s="393"/>
      <c r="G472" s="394"/>
      <c r="H472" s="60"/>
      <c r="I472" s="395"/>
      <c r="J472" s="395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</row>
    <row r="473" ht="15.75" customHeight="1">
      <c r="A473" s="60"/>
      <c r="B473" s="60"/>
      <c r="C473" s="60"/>
      <c r="D473" s="60"/>
      <c r="E473" s="60"/>
      <c r="F473" s="393"/>
      <c r="G473" s="394"/>
      <c r="H473" s="60"/>
      <c r="I473" s="395"/>
      <c r="J473" s="395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</row>
    <row r="474" ht="15.75" customHeight="1">
      <c r="A474" s="60"/>
      <c r="B474" s="60"/>
      <c r="C474" s="60"/>
      <c r="D474" s="60"/>
      <c r="E474" s="60"/>
      <c r="F474" s="393"/>
      <c r="G474" s="394"/>
      <c r="H474" s="60"/>
      <c r="I474" s="395"/>
      <c r="J474" s="395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</row>
    <row r="475" ht="15.75" customHeight="1">
      <c r="A475" s="60"/>
      <c r="B475" s="60"/>
      <c r="C475" s="60"/>
      <c r="D475" s="60"/>
      <c r="E475" s="60"/>
      <c r="F475" s="393"/>
      <c r="G475" s="394"/>
      <c r="H475" s="60"/>
      <c r="I475" s="395"/>
      <c r="J475" s="395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</row>
    <row r="476" ht="15.75" customHeight="1">
      <c r="A476" s="60"/>
      <c r="B476" s="60"/>
      <c r="C476" s="60"/>
      <c r="D476" s="60"/>
      <c r="E476" s="60"/>
      <c r="F476" s="393"/>
      <c r="G476" s="394"/>
      <c r="H476" s="60"/>
      <c r="I476" s="395"/>
      <c r="J476" s="395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</row>
    <row r="477" ht="15.75" customHeight="1">
      <c r="A477" s="60"/>
      <c r="B477" s="60"/>
      <c r="C477" s="60"/>
      <c r="D477" s="60"/>
      <c r="E477" s="60"/>
      <c r="F477" s="393"/>
      <c r="G477" s="394"/>
      <c r="H477" s="60"/>
      <c r="I477" s="395"/>
      <c r="J477" s="395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</row>
    <row r="478" ht="15.75" customHeight="1">
      <c r="A478" s="60"/>
      <c r="B478" s="60"/>
      <c r="C478" s="60"/>
      <c r="D478" s="60"/>
      <c r="E478" s="60"/>
      <c r="F478" s="393"/>
      <c r="G478" s="394"/>
      <c r="H478" s="60"/>
      <c r="I478" s="395"/>
      <c r="J478" s="395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</row>
    <row r="479" ht="15.75" customHeight="1">
      <c r="A479" s="60"/>
      <c r="B479" s="60"/>
      <c r="C479" s="60"/>
      <c r="D479" s="60"/>
      <c r="E479" s="60"/>
      <c r="F479" s="393"/>
      <c r="G479" s="394"/>
      <c r="H479" s="60"/>
      <c r="I479" s="395"/>
      <c r="J479" s="395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</row>
    <row r="480" ht="15.75" customHeight="1">
      <c r="A480" s="60"/>
      <c r="B480" s="60"/>
      <c r="C480" s="60"/>
      <c r="D480" s="60"/>
      <c r="E480" s="60"/>
      <c r="F480" s="393"/>
      <c r="G480" s="394"/>
      <c r="H480" s="60"/>
      <c r="I480" s="395"/>
      <c r="J480" s="395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</row>
    <row r="481" ht="15.75" customHeight="1">
      <c r="A481" s="60"/>
      <c r="B481" s="60"/>
      <c r="C481" s="60"/>
      <c r="D481" s="60"/>
      <c r="E481" s="60"/>
      <c r="F481" s="393"/>
      <c r="G481" s="394"/>
      <c r="H481" s="60"/>
      <c r="I481" s="395"/>
      <c r="J481" s="395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</row>
    <row r="482" ht="15.75" customHeight="1">
      <c r="A482" s="60"/>
      <c r="B482" s="60"/>
      <c r="C482" s="60"/>
      <c r="D482" s="60"/>
      <c r="E482" s="60"/>
      <c r="F482" s="393"/>
      <c r="G482" s="394"/>
      <c r="H482" s="60"/>
      <c r="I482" s="395"/>
      <c r="J482" s="395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</row>
    <row r="483" ht="15.75" customHeight="1">
      <c r="A483" s="60"/>
      <c r="B483" s="60"/>
      <c r="C483" s="60"/>
      <c r="D483" s="60"/>
      <c r="E483" s="60"/>
      <c r="F483" s="393"/>
      <c r="G483" s="394"/>
      <c r="H483" s="60"/>
      <c r="I483" s="395"/>
      <c r="J483" s="395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</row>
    <row r="484" ht="15.75" customHeight="1">
      <c r="A484" s="60"/>
      <c r="B484" s="60"/>
      <c r="C484" s="60"/>
      <c r="D484" s="60"/>
      <c r="E484" s="60"/>
      <c r="F484" s="393"/>
      <c r="G484" s="394"/>
      <c r="H484" s="60"/>
      <c r="I484" s="395"/>
      <c r="J484" s="395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</row>
    <row r="485" ht="15.75" customHeight="1">
      <c r="A485" s="60"/>
      <c r="B485" s="60"/>
      <c r="C485" s="60"/>
      <c r="D485" s="60"/>
      <c r="E485" s="60"/>
      <c r="F485" s="393"/>
      <c r="G485" s="394"/>
      <c r="H485" s="60"/>
      <c r="I485" s="395"/>
      <c r="J485" s="395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</row>
    <row r="486" ht="15.75" customHeight="1">
      <c r="A486" s="60"/>
      <c r="B486" s="60"/>
      <c r="C486" s="60"/>
      <c r="D486" s="60"/>
      <c r="E486" s="60"/>
      <c r="F486" s="393"/>
      <c r="G486" s="394"/>
      <c r="H486" s="60"/>
      <c r="I486" s="395"/>
      <c r="J486" s="395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</row>
    <row r="487" ht="15.75" customHeight="1">
      <c r="A487" s="60"/>
      <c r="B487" s="60"/>
      <c r="C487" s="60"/>
      <c r="D487" s="60"/>
      <c r="E487" s="60"/>
      <c r="F487" s="393"/>
      <c r="G487" s="394"/>
      <c r="H487" s="60"/>
      <c r="I487" s="395"/>
      <c r="J487" s="395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</row>
    <row r="488" ht="15.75" customHeight="1">
      <c r="A488" s="60"/>
      <c r="B488" s="60"/>
      <c r="C488" s="60"/>
      <c r="D488" s="60"/>
      <c r="E488" s="60"/>
      <c r="F488" s="393"/>
      <c r="G488" s="394"/>
      <c r="H488" s="60"/>
      <c r="I488" s="395"/>
      <c r="J488" s="395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</row>
    <row r="489" ht="15.75" customHeight="1">
      <c r="A489" s="60"/>
      <c r="B489" s="60"/>
      <c r="C489" s="60"/>
      <c r="D489" s="60"/>
      <c r="E489" s="60"/>
      <c r="F489" s="393"/>
      <c r="G489" s="394"/>
      <c r="H489" s="60"/>
      <c r="I489" s="395"/>
      <c r="J489" s="395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</row>
    <row r="490" ht="15.75" customHeight="1">
      <c r="A490" s="60"/>
      <c r="B490" s="60"/>
      <c r="C490" s="60"/>
      <c r="D490" s="60"/>
      <c r="E490" s="60"/>
      <c r="F490" s="393"/>
      <c r="G490" s="394"/>
      <c r="H490" s="60"/>
      <c r="I490" s="395"/>
      <c r="J490" s="395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</row>
    <row r="491" ht="15.75" customHeight="1">
      <c r="A491" s="60"/>
      <c r="B491" s="60"/>
      <c r="C491" s="60"/>
      <c r="D491" s="60"/>
      <c r="E491" s="60"/>
      <c r="F491" s="393"/>
      <c r="G491" s="394"/>
      <c r="H491" s="60"/>
      <c r="I491" s="395"/>
      <c r="J491" s="395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</row>
    <row r="492" ht="15.75" customHeight="1">
      <c r="A492" s="60"/>
      <c r="B492" s="60"/>
      <c r="C492" s="60"/>
      <c r="D492" s="60"/>
      <c r="E492" s="60"/>
      <c r="F492" s="393"/>
      <c r="G492" s="394"/>
      <c r="H492" s="60"/>
      <c r="I492" s="395"/>
      <c r="J492" s="395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</row>
    <row r="493" ht="15.75" customHeight="1">
      <c r="A493" s="60"/>
      <c r="B493" s="60"/>
      <c r="C493" s="60"/>
      <c r="D493" s="60"/>
      <c r="E493" s="60"/>
      <c r="F493" s="393"/>
      <c r="G493" s="394"/>
      <c r="H493" s="60"/>
      <c r="I493" s="395"/>
      <c r="J493" s="395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</row>
    <row r="494" ht="15.75" customHeight="1">
      <c r="A494" s="60"/>
      <c r="B494" s="60"/>
      <c r="C494" s="60"/>
      <c r="D494" s="60"/>
      <c r="E494" s="60"/>
      <c r="F494" s="393"/>
      <c r="G494" s="394"/>
      <c r="H494" s="60"/>
      <c r="I494" s="395"/>
      <c r="J494" s="395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</row>
    <row r="495" ht="15.75" customHeight="1">
      <c r="A495" s="60"/>
      <c r="B495" s="60"/>
      <c r="C495" s="60"/>
      <c r="D495" s="60"/>
      <c r="E495" s="60"/>
      <c r="F495" s="393"/>
      <c r="G495" s="394"/>
      <c r="H495" s="60"/>
      <c r="I495" s="395"/>
      <c r="J495" s="395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</row>
    <row r="496" ht="15.75" customHeight="1">
      <c r="A496" s="60"/>
      <c r="B496" s="60"/>
      <c r="C496" s="60"/>
      <c r="D496" s="60"/>
      <c r="E496" s="60"/>
      <c r="F496" s="393"/>
      <c r="G496" s="394"/>
      <c r="H496" s="60"/>
      <c r="I496" s="395"/>
      <c r="J496" s="395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</row>
    <row r="497" ht="15.75" customHeight="1">
      <c r="A497" s="60"/>
      <c r="B497" s="60"/>
      <c r="C497" s="60"/>
      <c r="D497" s="60"/>
      <c r="E497" s="60"/>
      <c r="F497" s="393"/>
      <c r="G497" s="394"/>
      <c r="H497" s="60"/>
      <c r="I497" s="395"/>
      <c r="J497" s="395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</row>
    <row r="498" ht="15.75" customHeight="1">
      <c r="A498" s="60"/>
      <c r="B498" s="60"/>
      <c r="C498" s="60"/>
      <c r="D498" s="60"/>
      <c r="E498" s="60"/>
      <c r="F498" s="393"/>
      <c r="G498" s="394"/>
      <c r="H498" s="60"/>
      <c r="I498" s="395"/>
      <c r="J498" s="395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</row>
    <row r="499" ht="15.75" customHeight="1">
      <c r="A499" s="60"/>
      <c r="B499" s="60"/>
      <c r="C499" s="60"/>
      <c r="D499" s="60"/>
      <c r="E499" s="60"/>
      <c r="F499" s="393"/>
      <c r="G499" s="394"/>
      <c r="H499" s="60"/>
      <c r="I499" s="395"/>
      <c r="J499" s="395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</row>
    <row r="500" ht="15.75" customHeight="1">
      <c r="A500" s="60"/>
      <c r="B500" s="60"/>
      <c r="C500" s="60"/>
      <c r="D500" s="60"/>
      <c r="E500" s="60"/>
      <c r="F500" s="393"/>
      <c r="G500" s="394"/>
      <c r="H500" s="60"/>
      <c r="I500" s="395"/>
      <c r="J500" s="395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</row>
    <row r="501" ht="15.75" customHeight="1">
      <c r="A501" s="60"/>
      <c r="B501" s="60"/>
      <c r="C501" s="60"/>
      <c r="D501" s="60"/>
      <c r="E501" s="60"/>
      <c r="F501" s="393"/>
      <c r="G501" s="394"/>
      <c r="H501" s="60"/>
      <c r="I501" s="395"/>
      <c r="J501" s="395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</row>
    <row r="502" ht="15.75" customHeight="1">
      <c r="A502" s="60"/>
      <c r="B502" s="60"/>
      <c r="C502" s="60"/>
      <c r="D502" s="60"/>
      <c r="E502" s="60"/>
      <c r="F502" s="393"/>
      <c r="G502" s="394"/>
      <c r="H502" s="60"/>
      <c r="I502" s="395"/>
      <c r="J502" s="395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</row>
    <row r="503" ht="15.75" customHeight="1">
      <c r="A503" s="60"/>
      <c r="B503" s="60"/>
      <c r="C503" s="60"/>
      <c r="D503" s="60"/>
      <c r="E503" s="60"/>
      <c r="F503" s="393"/>
      <c r="G503" s="394"/>
      <c r="H503" s="60"/>
      <c r="I503" s="395"/>
      <c r="J503" s="395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</row>
    <row r="504" ht="15.75" customHeight="1">
      <c r="A504" s="60"/>
      <c r="B504" s="60"/>
      <c r="C504" s="60"/>
      <c r="D504" s="60"/>
      <c r="E504" s="60"/>
      <c r="F504" s="393"/>
      <c r="G504" s="394"/>
      <c r="H504" s="60"/>
      <c r="I504" s="395"/>
      <c r="J504" s="395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</row>
    <row r="505" ht="15.75" customHeight="1">
      <c r="A505" s="60"/>
      <c r="B505" s="60"/>
      <c r="C505" s="60"/>
      <c r="D505" s="60"/>
      <c r="E505" s="60"/>
      <c r="F505" s="393"/>
      <c r="G505" s="394"/>
      <c r="H505" s="60"/>
      <c r="I505" s="395"/>
      <c r="J505" s="395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</row>
    <row r="506" ht="15.75" customHeight="1">
      <c r="A506" s="60"/>
      <c r="B506" s="60"/>
      <c r="C506" s="60"/>
      <c r="D506" s="60"/>
      <c r="E506" s="60"/>
      <c r="F506" s="393"/>
      <c r="G506" s="394"/>
      <c r="H506" s="60"/>
      <c r="I506" s="395"/>
      <c r="J506" s="395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</row>
    <row r="507" ht="15.75" customHeight="1">
      <c r="A507" s="60"/>
      <c r="B507" s="60"/>
      <c r="C507" s="60"/>
      <c r="D507" s="60"/>
      <c r="E507" s="60"/>
      <c r="F507" s="393"/>
      <c r="G507" s="394"/>
      <c r="H507" s="60"/>
      <c r="I507" s="395"/>
      <c r="J507" s="395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</row>
    <row r="508" ht="15.75" customHeight="1">
      <c r="A508" s="60"/>
      <c r="B508" s="60"/>
      <c r="C508" s="60"/>
      <c r="D508" s="60"/>
      <c r="E508" s="60"/>
      <c r="F508" s="393"/>
      <c r="G508" s="394"/>
      <c r="H508" s="60"/>
      <c r="I508" s="395"/>
      <c r="J508" s="395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</row>
    <row r="509" ht="15.75" customHeight="1">
      <c r="A509" s="60"/>
      <c r="B509" s="60"/>
      <c r="C509" s="60"/>
      <c r="D509" s="60"/>
      <c r="E509" s="60"/>
      <c r="F509" s="393"/>
      <c r="G509" s="394"/>
      <c r="H509" s="60"/>
      <c r="I509" s="395"/>
      <c r="J509" s="395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</row>
    <row r="510" ht="15.75" customHeight="1">
      <c r="A510" s="60"/>
      <c r="B510" s="60"/>
      <c r="C510" s="60"/>
      <c r="D510" s="60"/>
      <c r="E510" s="60"/>
      <c r="F510" s="393"/>
      <c r="G510" s="394"/>
      <c r="H510" s="60"/>
      <c r="I510" s="395"/>
      <c r="J510" s="395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</row>
    <row r="511" ht="15.75" customHeight="1">
      <c r="A511" s="60"/>
      <c r="B511" s="60"/>
      <c r="C511" s="60"/>
      <c r="D511" s="60"/>
      <c r="E511" s="60"/>
      <c r="F511" s="393"/>
      <c r="G511" s="394"/>
      <c r="H511" s="60"/>
      <c r="I511" s="395"/>
      <c r="J511" s="395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</row>
    <row r="512" ht="15.75" customHeight="1">
      <c r="A512" s="60"/>
      <c r="B512" s="60"/>
      <c r="C512" s="60"/>
      <c r="D512" s="60"/>
      <c r="E512" s="60"/>
      <c r="F512" s="393"/>
      <c r="G512" s="394"/>
      <c r="H512" s="60"/>
      <c r="I512" s="395"/>
      <c r="J512" s="395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</row>
    <row r="513" ht="15.75" customHeight="1">
      <c r="A513" s="60"/>
      <c r="B513" s="60"/>
      <c r="C513" s="60"/>
      <c r="D513" s="60"/>
      <c r="E513" s="60"/>
      <c r="F513" s="393"/>
      <c r="G513" s="394"/>
      <c r="H513" s="60"/>
      <c r="I513" s="395"/>
      <c r="J513" s="395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</row>
    <row r="514" ht="15.75" customHeight="1">
      <c r="A514" s="60"/>
      <c r="B514" s="60"/>
      <c r="C514" s="60"/>
      <c r="D514" s="60"/>
      <c r="E514" s="60"/>
      <c r="F514" s="393"/>
      <c r="G514" s="394"/>
      <c r="H514" s="60"/>
      <c r="I514" s="395"/>
      <c r="J514" s="395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</row>
    <row r="515" ht="15.75" customHeight="1">
      <c r="A515" s="60"/>
      <c r="B515" s="60"/>
      <c r="C515" s="60"/>
      <c r="D515" s="60"/>
      <c r="E515" s="60"/>
      <c r="F515" s="393"/>
      <c r="G515" s="394"/>
      <c r="H515" s="60"/>
      <c r="I515" s="395"/>
      <c r="J515" s="395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</row>
    <row r="516" ht="15.75" customHeight="1">
      <c r="A516" s="60"/>
      <c r="B516" s="60"/>
      <c r="C516" s="60"/>
      <c r="D516" s="60"/>
      <c r="E516" s="60"/>
      <c r="F516" s="393"/>
      <c r="G516" s="394"/>
      <c r="H516" s="60"/>
      <c r="I516" s="395"/>
      <c r="J516" s="395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</row>
    <row r="517" ht="15.75" customHeight="1">
      <c r="A517" s="60"/>
      <c r="B517" s="60"/>
      <c r="C517" s="60"/>
      <c r="D517" s="60"/>
      <c r="E517" s="60"/>
      <c r="F517" s="393"/>
      <c r="G517" s="394"/>
      <c r="H517" s="60"/>
      <c r="I517" s="395"/>
      <c r="J517" s="395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</row>
    <row r="518" ht="15.75" customHeight="1">
      <c r="A518" s="60"/>
      <c r="B518" s="60"/>
      <c r="C518" s="60"/>
      <c r="D518" s="60"/>
      <c r="E518" s="60"/>
      <c r="F518" s="393"/>
      <c r="G518" s="394"/>
      <c r="H518" s="60"/>
      <c r="I518" s="395"/>
      <c r="J518" s="395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</row>
    <row r="519" ht="15.75" customHeight="1">
      <c r="A519" s="60"/>
      <c r="B519" s="60"/>
      <c r="C519" s="60"/>
      <c r="D519" s="60"/>
      <c r="E519" s="60"/>
      <c r="F519" s="393"/>
      <c r="G519" s="394"/>
      <c r="H519" s="60"/>
      <c r="I519" s="395"/>
      <c r="J519" s="395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</row>
    <row r="520" ht="15.75" customHeight="1">
      <c r="A520" s="60"/>
      <c r="B520" s="60"/>
      <c r="C520" s="60"/>
      <c r="D520" s="60"/>
      <c r="E520" s="60"/>
      <c r="F520" s="393"/>
      <c r="G520" s="394"/>
      <c r="H520" s="60"/>
      <c r="I520" s="395"/>
      <c r="J520" s="395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</row>
    <row r="521" ht="15.75" customHeight="1">
      <c r="A521" s="60"/>
      <c r="B521" s="60"/>
      <c r="C521" s="60"/>
      <c r="D521" s="60"/>
      <c r="E521" s="60"/>
      <c r="F521" s="393"/>
      <c r="G521" s="394"/>
      <c r="H521" s="60"/>
      <c r="I521" s="395"/>
      <c r="J521" s="395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</row>
    <row r="522" ht="15.75" customHeight="1">
      <c r="A522" s="60"/>
      <c r="B522" s="60"/>
      <c r="C522" s="60"/>
      <c r="D522" s="60"/>
      <c r="E522" s="60"/>
      <c r="F522" s="393"/>
      <c r="G522" s="394"/>
      <c r="H522" s="60"/>
      <c r="I522" s="395"/>
      <c r="J522" s="395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</row>
    <row r="523" ht="15.75" customHeight="1">
      <c r="A523" s="60"/>
      <c r="B523" s="60"/>
      <c r="C523" s="60"/>
      <c r="D523" s="60"/>
      <c r="E523" s="60"/>
      <c r="F523" s="393"/>
      <c r="G523" s="394"/>
      <c r="H523" s="60"/>
      <c r="I523" s="395"/>
      <c r="J523" s="395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</row>
    <row r="524" ht="15.75" customHeight="1">
      <c r="A524" s="60"/>
      <c r="B524" s="60"/>
      <c r="C524" s="60"/>
      <c r="D524" s="60"/>
      <c r="E524" s="60"/>
      <c r="F524" s="393"/>
      <c r="G524" s="394"/>
      <c r="H524" s="60"/>
      <c r="I524" s="395"/>
      <c r="J524" s="395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</row>
    <row r="525" ht="15.75" customHeight="1">
      <c r="A525" s="60"/>
      <c r="B525" s="60"/>
      <c r="C525" s="60"/>
      <c r="D525" s="60"/>
      <c r="E525" s="60"/>
      <c r="F525" s="393"/>
      <c r="G525" s="394"/>
      <c r="H525" s="60"/>
      <c r="I525" s="395"/>
      <c r="J525" s="395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</row>
    <row r="526" ht="15.75" customHeight="1">
      <c r="A526" s="60"/>
      <c r="B526" s="60"/>
      <c r="C526" s="60"/>
      <c r="D526" s="60"/>
      <c r="E526" s="60"/>
      <c r="F526" s="393"/>
      <c r="G526" s="394"/>
      <c r="H526" s="60"/>
      <c r="I526" s="395"/>
      <c r="J526" s="395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</row>
    <row r="527" ht="15.75" customHeight="1">
      <c r="A527" s="60"/>
      <c r="B527" s="60"/>
      <c r="C527" s="60"/>
      <c r="D527" s="60"/>
      <c r="E527" s="60"/>
      <c r="F527" s="393"/>
      <c r="G527" s="394"/>
      <c r="H527" s="60"/>
      <c r="I527" s="395"/>
      <c r="J527" s="395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</row>
    <row r="528" ht="15.75" customHeight="1">
      <c r="A528" s="60"/>
      <c r="B528" s="60"/>
      <c r="C528" s="60"/>
      <c r="D528" s="60"/>
      <c r="E528" s="60"/>
      <c r="F528" s="393"/>
      <c r="G528" s="394"/>
      <c r="H528" s="60"/>
      <c r="I528" s="395"/>
      <c r="J528" s="395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</row>
    <row r="529" ht="15.75" customHeight="1">
      <c r="A529" s="60"/>
      <c r="B529" s="60"/>
      <c r="C529" s="60"/>
      <c r="D529" s="60"/>
      <c r="E529" s="60"/>
      <c r="F529" s="393"/>
      <c r="G529" s="394"/>
      <c r="H529" s="60"/>
      <c r="I529" s="395"/>
      <c r="J529" s="395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</row>
    <row r="530" ht="15.75" customHeight="1">
      <c r="A530" s="60"/>
      <c r="B530" s="60"/>
      <c r="C530" s="60"/>
      <c r="D530" s="60"/>
      <c r="E530" s="60"/>
      <c r="F530" s="393"/>
      <c r="G530" s="394"/>
      <c r="H530" s="60"/>
      <c r="I530" s="395"/>
      <c r="J530" s="395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</row>
    <row r="531" ht="15.75" customHeight="1">
      <c r="A531" s="60"/>
      <c r="B531" s="60"/>
      <c r="C531" s="60"/>
      <c r="D531" s="60"/>
      <c r="E531" s="60"/>
      <c r="F531" s="393"/>
      <c r="G531" s="394"/>
      <c r="H531" s="60"/>
      <c r="I531" s="395"/>
      <c r="J531" s="395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</row>
    <row r="532" ht="15.75" customHeight="1">
      <c r="A532" s="60"/>
      <c r="B532" s="60"/>
      <c r="C532" s="60"/>
      <c r="D532" s="60"/>
      <c r="E532" s="60"/>
      <c r="F532" s="393"/>
      <c r="G532" s="394"/>
      <c r="H532" s="60"/>
      <c r="I532" s="395"/>
      <c r="J532" s="395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</row>
    <row r="533" ht="15.75" customHeight="1">
      <c r="A533" s="60"/>
      <c r="B533" s="60"/>
      <c r="C533" s="60"/>
      <c r="D533" s="60"/>
      <c r="E533" s="60"/>
      <c r="F533" s="393"/>
      <c r="G533" s="394"/>
      <c r="H533" s="60"/>
      <c r="I533" s="395"/>
      <c r="J533" s="395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</row>
    <row r="534" ht="15.75" customHeight="1">
      <c r="A534" s="60"/>
      <c r="B534" s="60"/>
      <c r="C534" s="60"/>
      <c r="D534" s="60"/>
      <c r="E534" s="60"/>
      <c r="F534" s="393"/>
      <c r="G534" s="394"/>
      <c r="H534" s="60"/>
      <c r="I534" s="395"/>
      <c r="J534" s="395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</row>
    <row r="535" ht="15.75" customHeight="1">
      <c r="A535" s="60"/>
      <c r="B535" s="60"/>
      <c r="C535" s="60"/>
      <c r="D535" s="60"/>
      <c r="E535" s="60"/>
      <c r="F535" s="393"/>
      <c r="G535" s="394"/>
      <c r="H535" s="60"/>
      <c r="I535" s="395"/>
      <c r="J535" s="395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</row>
    <row r="536" ht="15.75" customHeight="1">
      <c r="A536" s="60"/>
      <c r="B536" s="60"/>
      <c r="C536" s="60"/>
      <c r="D536" s="60"/>
      <c r="E536" s="60"/>
      <c r="F536" s="393"/>
      <c r="G536" s="394"/>
      <c r="H536" s="60"/>
      <c r="I536" s="395"/>
      <c r="J536" s="395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</row>
    <row r="537" ht="15.75" customHeight="1">
      <c r="A537" s="60"/>
      <c r="B537" s="60"/>
      <c r="C537" s="60"/>
      <c r="D537" s="60"/>
      <c r="E537" s="60"/>
      <c r="F537" s="393"/>
      <c r="G537" s="394"/>
      <c r="H537" s="60"/>
      <c r="I537" s="395"/>
      <c r="J537" s="395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</row>
    <row r="538" ht="15.75" customHeight="1">
      <c r="A538" s="60"/>
      <c r="B538" s="60"/>
      <c r="C538" s="60"/>
      <c r="D538" s="60"/>
      <c r="E538" s="60"/>
      <c r="F538" s="393"/>
      <c r="G538" s="394"/>
      <c r="H538" s="60"/>
      <c r="I538" s="395"/>
      <c r="J538" s="395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</row>
    <row r="539" ht="15.75" customHeight="1">
      <c r="A539" s="60"/>
      <c r="B539" s="60"/>
      <c r="C539" s="60"/>
      <c r="D539" s="60"/>
      <c r="E539" s="60"/>
      <c r="F539" s="393"/>
      <c r="G539" s="394"/>
      <c r="H539" s="60"/>
      <c r="I539" s="395"/>
      <c r="J539" s="395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</row>
    <row r="540" ht="15.75" customHeight="1">
      <c r="A540" s="60"/>
      <c r="B540" s="60"/>
      <c r="C540" s="60"/>
      <c r="D540" s="60"/>
      <c r="E540" s="60"/>
      <c r="F540" s="393"/>
      <c r="G540" s="394"/>
      <c r="H540" s="60"/>
      <c r="I540" s="395"/>
      <c r="J540" s="395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</row>
    <row r="541" ht="15.75" customHeight="1">
      <c r="A541" s="60"/>
      <c r="B541" s="60"/>
      <c r="C541" s="60"/>
      <c r="D541" s="60"/>
      <c r="E541" s="60"/>
      <c r="F541" s="393"/>
      <c r="G541" s="394"/>
      <c r="H541" s="60"/>
      <c r="I541" s="395"/>
      <c r="J541" s="395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</row>
    <row r="542" ht="15.75" customHeight="1">
      <c r="A542" s="60"/>
      <c r="B542" s="60"/>
      <c r="C542" s="60"/>
      <c r="D542" s="60"/>
      <c r="E542" s="60"/>
      <c r="F542" s="393"/>
      <c r="G542" s="394"/>
      <c r="H542" s="60"/>
      <c r="I542" s="395"/>
      <c r="J542" s="395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</row>
    <row r="543" ht="15.75" customHeight="1">
      <c r="A543" s="60"/>
      <c r="B543" s="60"/>
      <c r="C543" s="60"/>
      <c r="D543" s="60"/>
      <c r="E543" s="60"/>
      <c r="F543" s="393"/>
      <c r="G543" s="394"/>
      <c r="H543" s="60"/>
      <c r="I543" s="395"/>
      <c r="J543" s="395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</row>
    <row r="544" ht="15.75" customHeight="1">
      <c r="A544" s="60"/>
      <c r="B544" s="60"/>
      <c r="C544" s="60"/>
      <c r="D544" s="60"/>
      <c r="E544" s="60"/>
      <c r="F544" s="393"/>
      <c r="G544" s="394"/>
      <c r="H544" s="60"/>
      <c r="I544" s="395"/>
      <c r="J544" s="395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</row>
    <row r="545" ht="15.75" customHeight="1">
      <c r="A545" s="60"/>
      <c r="B545" s="60"/>
      <c r="C545" s="60"/>
      <c r="D545" s="60"/>
      <c r="E545" s="60"/>
      <c r="F545" s="393"/>
      <c r="G545" s="394"/>
      <c r="H545" s="60"/>
      <c r="I545" s="395"/>
      <c r="J545" s="395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</row>
    <row r="546" ht="15.75" customHeight="1">
      <c r="A546" s="60"/>
      <c r="B546" s="60"/>
      <c r="C546" s="60"/>
      <c r="D546" s="60"/>
      <c r="E546" s="60"/>
      <c r="F546" s="393"/>
      <c r="G546" s="394"/>
      <c r="H546" s="60"/>
      <c r="I546" s="395"/>
      <c r="J546" s="395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</row>
    <row r="547" ht="15.75" customHeight="1">
      <c r="A547" s="60"/>
      <c r="B547" s="60"/>
      <c r="C547" s="60"/>
      <c r="D547" s="60"/>
      <c r="E547" s="60"/>
      <c r="F547" s="393"/>
      <c r="G547" s="394"/>
      <c r="H547" s="60"/>
      <c r="I547" s="395"/>
      <c r="J547" s="395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</row>
    <row r="548" ht="15.75" customHeight="1">
      <c r="A548" s="60"/>
      <c r="B548" s="60"/>
      <c r="C548" s="60"/>
      <c r="D548" s="60"/>
      <c r="E548" s="60"/>
      <c r="F548" s="393"/>
      <c r="G548" s="394"/>
      <c r="H548" s="60"/>
      <c r="I548" s="395"/>
      <c r="J548" s="395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</row>
    <row r="549" ht="15.75" customHeight="1">
      <c r="A549" s="60"/>
      <c r="B549" s="60"/>
      <c r="C549" s="60"/>
      <c r="D549" s="60"/>
      <c r="E549" s="60"/>
      <c r="F549" s="393"/>
      <c r="G549" s="394"/>
      <c r="H549" s="60"/>
      <c r="I549" s="395"/>
      <c r="J549" s="395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</row>
    <row r="550" ht="15.75" customHeight="1">
      <c r="A550" s="60"/>
      <c r="B550" s="60"/>
      <c r="C550" s="60"/>
      <c r="D550" s="60"/>
      <c r="E550" s="60"/>
      <c r="F550" s="393"/>
      <c r="G550" s="394"/>
      <c r="H550" s="60"/>
      <c r="I550" s="395"/>
      <c r="J550" s="395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</row>
    <row r="551" ht="15.75" customHeight="1">
      <c r="A551" s="60"/>
      <c r="B551" s="60"/>
      <c r="C551" s="60"/>
      <c r="D551" s="60"/>
      <c r="E551" s="60"/>
      <c r="F551" s="393"/>
      <c r="G551" s="394"/>
      <c r="H551" s="60"/>
      <c r="I551" s="395"/>
      <c r="J551" s="395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</row>
    <row r="552" ht="15.75" customHeight="1">
      <c r="A552" s="60"/>
      <c r="B552" s="60"/>
      <c r="C552" s="60"/>
      <c r="D552" s="60"/>
      <c r="E552" s="60"/>
      <c r="F552" s="393"/>
      <c r="G552" s="394"/>
      <c r="H552" s="60"/>
      <c r="I552" s="395"/>
      <c r="J552" s="395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</row>
    <row r="553" ht="15.75" customHeight="1">
      <c r="A553" s="60"/>
      <c r="B553" s="60"/>
      <c r="C553" s="60"/>
      <c r="D553" s="60"/>
      <c r="E553" s="60"/>
      <c r="F553" s="393"/>
      <c r="G553" s="394"/>
      <c r="H553" s="60"/>
      <c r="I553" s="395"/>
      <c r="J553" s="395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</row>
    <row r="554" ht="15.75" customHeight="1">
      <c r="A554" s="60"/>
      <c r="B554" s="60"/>
      <c r="C554" s="60"/>
      <c r="D554" s="60"/>
      <c r="E554" s="60"/>
      <c r="F554" s="393"/>
      <c r="G554" s="394"/>
      <c r="H554" s="60"/>
      <c r="I554" s="395"/>
      <c r="J554" s="395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</row>
    <row r="555" ht="15.75" customHeight="1">
      <c r="A555" s="60"/>
      <c r="B555" s="60"/>
      <c r="C555" s="60"/>
      <c r="D555" s="60"/>
      <c r="E555" s="60"/>
      <c r="F555" s="393"/>
      <c r="G555" s="394"/>
      <c r="H555" s="60"/>
      <c r="I555" s="395"/>
      <c r="J555" s="395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</row>
    <row r="556" ht="15.75" customHeight="1">
      <c r="A556" s="60"/>
      <c r="B556" s="60"/>
      <c r="C556" s="60"/>
      <c r="D556" s="60"/>
      <c r="E556" s="60"/>
      <c r="F556" s="393"/>
      <c r="G556" s="394"/>
      <c r="H556" s="60"/>
      <c r="I556" s="395"/>
      <c r="J556" s="395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</row>
    <row r="557" ht="15.75" customHeight="1">
      <c r="A557" s="60"/>
      <c r="B557" s="60"/>
      <c r="C557" s="60"/>
      <c r="D557" s="60"/>
      <c r="E557" s="60"/>
      <c r="F557" s="393"/>
      <c r="G557" s="394"/>
      <c r="H557" s="60"/>
      <c r="I557" s="395"/>
      <c r="J557" s="395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</row>
    <row r="558" ht="15.75" customHeight="1">
      <c r="A558" s="60"/>
      <c r="B558" s="60"/>
      <c r="C558" s="60"/>
      <c r="D558" s="60"/>
      <c r="E558" s="60"/>
      <c r="F558" s="393"/>
      <c r="G558" s="394"/>
      <c r="H558" s="60"/>
      <c r="I558" s="395"/>
      <c r="J558" s="395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</row>
    <row r="559" ht="15.75" customHeight="1">
      <c r="A559" s="60"/>
      <c r="B559" s="60"/>
      <c r="C559" s="60"/>
      <c r="D559" s="60"/>
      <c r="E559" s="60"/>
      <c r="F559" s="393"/>
      <c r="G559" s="394"/>
      <c r="H559" s="60"/>
      <c r="I559" s="395"/>
      <c r="J559" s="395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</row>
    <row r="560" ht="15.75" customHeight="1">
      <c r="A560" s="60"/>
      <c r="B560" s="60"/>
      <c r="C560" s="60"/>
      <c r="D560" s="60"/>
      <c r="E560" s="60"/>
      <c r="F560" s="393"/>
      <c r="G560" s="394"/>
      <c r="H560" s="60"/>
      <c r="I560" s="395"/>
      <c r="J560" s="395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</row>
    <row r="561" ht="15.75" customHeight="1">
      <c r="A561" s="60"/>
      <c r="B561" s="60"/>
      <c r="C561" s="60"/>
      <c r="D561" s="60"/>
      <c r="E561" s="60"/>
      <c r="F561" s="393"/>
      <c r="G561" s="394"/>
      <c r="H561" s="60"/>
      <c r="I561" s="395"/>
      <c r="J561" s="395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</row>
    <row r="562" ht="15.75" customHeight="1">
      <c r="A562" s="60"/>
      <c r="B562" s="60"/>
      <c r="C562" s="60"/>
      <c r="D562" s="60"/>
      <c r="E562" s="60"/>
      <c r="F562" s="393"/>
      <c r="G562" s="394"/>
      <c r="H562" s="60"/>
      <c r="I562" s="395"/>
      <c r="J562" s="395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</row>
    <row r="563" ht="15.75" customHeight="1">
      <c r="A563" s="60"/>
      <c r="B563" s="60"/>
      <c r="C563" s="60"/>
      <c r="D563" s="60"/>
      <c r="E563" s="60"/>
      <c r="F563" s="393"/>
      <c r="G563" s="394"/>
      <c r="H563" s="60"/>
      <c r="I563" s="395"/>
      <c r="J563" s="395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</row>
    <row r="564" ht="15.75" customHeight="1">
      <c r="A564" s="60"/>
      <c r="B564" s="60"/>
      <c r="C564" s="60"/>
      <c r="D564" s="60"/>
      <c r="E564" s="60"/>
      <c r="F564" s="393"/>
      <c r="G564" s="394"/>
      <c r="H564" s="60"/>
      <c r="I564" s="395"/>
      <c r="J564" s="395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</row>
    <row r="565" ht="15.75" customHeight="1">
      <c r="A565" s="60"/>
      <c r="B565" s="60"/>
      <c r="C565" s="60"/>
      <c r="D565" s="60"/>
      <c r="E565" s="60"/>
      <c r="F565" s="393"/>
      <c r="G565" s="394"/>
      <c r="H565" s="60"/>
      <c r="I565" s="395"/>
      <c r="J565" s="395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</row>
    <row r="566" ht="15.75" customHeight="1">
      <c r="A566" s="60"/>
      <c r="B566" s="60"/>
      <c r="C566" s="60"/>
      <c r="D566" s="60"/>
      <c r="E566" s="60"/>
      <c r="F566" s="393"/>
      <c r="G566" s="394"/>
      <c r="H566" s="60"/>
      <c r="I566" s="395"/>
      <c r="J566" s="395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</row>
    <row r="567" ht="15.75" customHeight="1">
      <c r="A567" s="60"/>
      <c r="B567" s="60"/>
      <c r="C567" s="60"/>
      <c r="D567" s="60"/>
      <c r="E567" s="60"/>
      <c r="F567" s="393"/>
      <c r="G567" s="394"/>
      <c r="H567" s="60"/>
      <c r="I567" s="395"/>
      <c r="J567" s="395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</row>
    <row r="568" ht="15.75" customHeight="1">
      <c r="A568" s="60"/>
      <c r="B568" s="60"/>
      <c r="C568" s="60"/>
      <c r="D568" s="60"/>
      <c r="E568" s="60"/>
      <c r="F568" s="393"/>
      <c r="G568" s="394"/>
      <c r="H568" s="60"/>
      <c r="I568" s="395"/>
      <c r="J568" s="395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</row>
    <row r="569" ht="15.75" customHeight="1">
      <c r="A569" s="60"/>
      <c r="B569" s="60"/>
      <c r="C569" s="60"/>
      <c r="D569" s="60"/>
      <c r="E569" s="60"/>
      <c r="F569" s="393"/>
      <c r="G569" s="394"/>
      <c r="H569" s="60"/>
      <c r="I569" s="395"/>
      <c r="J569" s="395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</row>
    <row r="570" ht="15.75" customHeight="1">
      <c r="A570" s="60"/>
      <c r="B570" s="60"/>
      <c r="C570" s="60"/>
      <c r="D570" s="60"/>
      <c r="E570" s="60"/>
      <c r="F570" s="393"/>
      <c r="G570" s="394"/>
      <c r="H570" s="60"/>
      <c r="I570" s="395"/>
      <c r="J570" s="395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</row>
    <row r="571" ht="15.75" customHeight="1">
      <c r="A571" s="60"/>
      <c r="B571" s="60"/>
      <c r="C571" s="60"/>
      <c r="D571" s="60"/>
      <c r="E571" s="60"/>
      <c r="F571" s="393"/>
      <c r="G571" s="394"/>
      <c r="H571" s="60"/>
      <c r="I571" s="395"/>
      <c r="J571" s="395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</row>
    <row r="572" ht="15.75" customHeight="1">
      <c r="A572" s="60"/>
      <c r="B572" s="60"/>
      <c r="C572" s="60"/>
      <c r="D572" s="60"/>
      <c r="E572" s="60"/>
      <c r="F572" s="393"/>
      <c r="G572" s="394"/>
      <c r="H572" s="60"/>
      <c r="I572" s="395"/>
      <c r="J572" s="395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</row>
    <row r="573" ht="15.75" customHeight="1">
      <c r="A573" s="60"/>
      <c r="B573" s="60"/>
      <c r="C573" s="60"/>
      <c r="D573" s="60"/>
      <c r="E573" s="60"/>
      <c r="F573" s="393"/>
      <c r="G573" s="394"/>
      <c r="H573" s="60"/>
      <c r="I573" s="395"/>
      <c r="J573" s="395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</row>
    <row r="574" ht="15.75" customHeight="1">
      <c r="A574" s="60"/>
      <c r="B574" s="60"/>
      <c r="C574" s="60"/>
      <c r="D574" s="60"/>
      <c r="E574" s="60"/>
      <c r="F574" s="393"/>
      <c r="G574" s="394"/>
      <c r="H574" s="60"/>
      <c r="I574" s="395"/>
      <c r="J574" s="395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</row>
    <row r="575" ht="15.75" customHeight="1">
      <c r="A575" s="60"/>
      <c r="B575" s="60"/>
      <c r="C575" s="60"/>
      <c r="D575" s="60"/>
      <c r="E575" s="60"/>
      <c r="F575" s="393"/>
      <c r="G575" s="394"/>
      <c r="H575" s="60"/>
      <c r="I575" s="395"/>
      <c r="J575" s="395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</row>
    <row r="576" ht="15.75" customHeight="1">
      <c r="A576" s="60"/>
      <c r="B576" s="60"/>
      <c r="C576" s="60"/>
      <c r="D576" s="60"/>
      <c r="E576" s="60"/>
      <c r="F576" s="393"/>
      <c r="G576" s="394"/>
      <c r="H576" s="60"/>
      <c r="I576" s="395"/>
      <c r="J576" s="395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</row>
    <row r="577" ht="15.75" customHeight="1">
      <c r="A577" s="60"/>
      <c r="B577" s="60"/>
      <c r="C577" s="60"/>
      <c r="D577" s="60"/>
      <c r="E577" s="60"/>
      <c r="F577" s="393"/>
      <c r="G577" s="394"/>
      <c r="H577" s="60"/>
      <c r="I577" s="395"/>
      <c r="J577" s="395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</row>
    <row r="578" ht="15.75" customHeight="1">
      <c r="A578" s="60"/>
      <c r="B578" s="60"/>
      <c r="C578" s="60"/>
      <c r="D578" s="60"/>
      <c r="E578" s="60"/>
      <c r="F578" s="393"/>
      <c r="G578" s="394"/>
      <c r="H578" s="60"/>
      <c r="I578" s="395"/>
      <c r="J578" s="395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</row>
    <row r="579" ht="15.75" customHeight="1">
      <c r="A579" s="60"/>
      <c r="B579" s="60"/>
      <c r="C579" s="60"/>
      <c r="D579" s="60"/>
      <c r="E579" s="60"/>
      <c r="F579" s="393"/>
      <c r="G579" s="394"/>
      <c r="H579" s="60"/>
      <c r="I579" s="395"/>
      <c r="J579" s="395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</row>
    <row r="580" ht="15.75" customHeight="1">
      <c r="A580" s="60"/>
      <c r="B580" s="60"/>
      <c r="C580" s="60"/>
      <c r="D580" s="60"/>
      <c r="E580" s="60"/>
      <c r="F580" s="393"/>
      <c r="G580" s="394"/>
      <c r="H580" s="60"/>
      <c r="I580" s="395"/>
      <c r="J580" s="395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</row>
    <row r="581" ht="15.75" customHeight="1">
      <c r="A581" s="60"/>
      <c r="B581" s="60"/>
      <c r="C581" s="60"/>
      <c r="D581" s="60"/>
      <c r="E581" s="60"/>
      <c r="F581" s="393"/>
      <c r="G581" s="394"/>
      <c r="H581" s="60"/>
      <c r="I581" s="395"/>
      <c r="J581" s="395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</row>
    <row r="582" ht="15.75" customHeight="1">
      <c r="A582" s="60"/>
      <c r="B582" s="60"/>
      <c r="C582" s="60"/>
      <c r="D582" s="60"/>
      <c r="E582" s="60"/>
      <c r="F582" s="393"/>
      <c r="G582" s="394"/>
      <c r="H582" s="60"/>
      <c r="I582" s="395"/>
      <c r="J582" s="395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</row>
    <row r="583" ht="15.75" customHeight="1">
      <c r="A583" s="60"/>
      <c r="B583" s="60"/>
      <c r="C583" s="60"/>
      <c r="D583" s="60"/>
      <c r="E583" s="60"/>
      <c r="F583" s="393"/>
      <c r="G583" s="394"/>
      <c r="H583" s="60"/>
      <c r="I583" s="395"/>
      <c r="J583" s="395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</row>
    <row r="584" ht="15.75" customHeight="1">
      <c r="A584" s="60"/>
      <c r="B584" s="60"/>
      <c r="C584" s="60"/>
      <c r="D584" s="60"/>
      <c r="E584" s="60"/>
      <c r="F584" s="393"/>
      <c r="G584" s="394"/>
      <c r="H584" s="60"/>
      <c r="I584" s="395"/>
      <c r="J584" s="395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</row>
    <row r="585" ht="15.75" customHeight="1">
      <c r="A585" s="60"/>
      <c r="B585" s="60"/>
      <c r="C585" s="60"/>
      <c r="D585" s="60"/>
      <c r="E585" s="60"/>
      <c r="F585" s="393"/>
      <c r="G585" s="394"/>
      <c r="H585" s="60"/>
      <c r="I585" s="395"/>
      <c r="J585" s="395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</row>
    <row r="586" ht="15.75" customHeight="1">
      <c r="A586" s="60"/>
      <c r="B586" s="60"/>
      <c r="C586" s="60"/>
      <c r="D586" s="60"/>
      <c r="E586" s="60"/>
      <c r="F586" s="393"/>
      <c r="G586" s="394"/>
      <c r="H586" s="60"/>
      <c r="I586" s="395"/>
      <c r="J586" s="395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</row>
    <row r="587" ht="15.75" customHeight="1">
      <c r="A587" s="60"/>
      <c r="B587" s="60"/>
      <c r="C587" s="60"/>
      <c r="D587" s="60"/>
      <c r="E587" s="60"/>
      <c r="F587" s="393"/>
      <c r="G587" s="394"/>
      <c r="H587" s="60"/>
      <c r="I587" s="395"/>
      <c r="J587" s="395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</row>
    <row r="588" ht="15.75" customHeight="1">
      <c r="A588" s="60"/>
      <c r="B588" s="60"/>
      <c r="C588" s="60"/>
      <c r="D588" s="60"/>
      <c r="E588" s="60"/>
      <c r="F588" s="393"/>
      <c r="G588" s="394"/>
      <c r="H588" s="60"/>
      <c r="I588" s="395"/>
      <c r="J588" s="395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</row>
    <row r="589" ht="15.75" customHeight="1">
      <c r="A589" s="60"/>
      <c r="B589" s="60"/>
      <c r="C589" s="60"/>
      <c r="D589" s="60"/>
      <c r="E589" s="60"/>
      <c r="F589" s="393"/>
      <c r="G589" s="394"/>
      <c r="H589" s="60"/>
      <c r="I589" s="395"/>
      <c r="J589" s="395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</row>
    <row r="590" ht="15.75" customHeight="1">
      <c r="A590" s="60"/>
      <c r="B590" s="60"/>
      <c r="C590" s="60"/>
      <c r="D590" s="60"/>
      <c r="E590" s="60"/>
      <c r="F590" s="393"/>
      <c r="G590" s="394"/>
      <c r="H590" s="60"/>
      <c r="I590" s="395"/>
      <c r="J590" s="395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</row>
    <row r="591" ht="15.75" customHeight="1">
      <c r="A591" s="60"/>
      <c r="B591" s="60"/>
      <c r="C591" s="60"/>
      <c r="D591" s="60"/>
      <c r="E591" s="60"/>
      <c r="F591" s="393"/>
      <c r="G591" s="394"/>
      <c r="H591" s="60"/>
      <c r="I591" s="395"/>
      <c r="J591" s="395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</row>
    <row r="592" ht="15.75" customHeight="1">
      <c r="A592" s="60"/>
      <c r="B592" s="60"/>
      <c r="C592" s="60"/>
      <c r="D592" s="60"/>
      <c r="E592" s="60"/>
      <c r="F592" s="393"/>
      <c r="G592" s="394"/>
      <c r="H592" s="60"/>
      <c r="I592" s="395"/>
      <c r="J592" s="395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</row>
    <row r="593" ht="15.75" customHeight="1">
      <c r="A593" s="60"/>
      <c r="B593" s="60"/>
      <c r="C593" s="60"/>
      <c r="D593" s="60"/>
      <c r="E593" s="60"/>
      <c r="F593" s="393"/>
      <c r="G593" s="394"/>
      <c r="H593" s="60"/>
      <c r="I593" s="395"/>
      <c r="J593" s="395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</row>
    <row r="594" ht="15.75" customHeight="1">
      <c r="A594" s="60"/>
      <c r="B594" s="60"/>
      <c r="C594" s="60"/>
      <c r="D594" s="60"/>
      <c r="E594" s="60"/>
      <c r="F594" s="393"/>
      <c r="G594" s="394"/>
      <c r="H594" s="60"/>
      <c r="I594" s="395"/>
      <c r="J594" s="395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</row>
    <row r="595" ht="15.75" customHeight="1">
      <c r="A595" s="60"/>
      <c r="B595" s="60"/>
      <c r="C595" s="60"/>
      <c r="D595" s="60"/>
      <c r="E595" s="60"/>
      <c r="F595" s="393"/>
      <c r="G595" s="394"/>
      <c r="H595" s="60"/>
      <c r="I595" s="395"/>
      <c r="J595" s="395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</row>
    <row r="596" ht="15.75" customHeight="1">
      <c r="A596" s="60"/>
      <c r="B596" s="60"/>
      <c r="C596" s="60"/>
      <c r="D596" s="60"/>
      <c r="E596" s="60"/>
      <c r="F596" s="393"/>
      <c r="G596" s="394"/>
      <c r="H596" s="60"/>
      <c r="I596" s="395"/>
      <c r="J596" s="395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</row>
    <row r="597" ht="15.75" customHeight="1">
      <c r="A597" s="60"/>
      <c r="B597" s="60"/>
      <c r="C597" s="60"/>
      <c r="D597" s="60"/>
      <c r="E597" s="60"/>
      <c r="F597" s="393"/>
      <c r="G597" s="394"/>
      <c r="H597" s="60"/>
      <c r="I597" s="395"/>
      <c r="J597" s="395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</row>
    <row r="598" ht="15.75" customHeight="1">
      <c r="A598" s="60"/>
      <c r="B598" s="60"/>
      <c r="C598" s="60"/>
      <c r="D598" s="60"/>
      <c r="E598" s="60"/>
      <c r="F598" s="393"/>
      <c r="G598" s="394"/>
      <c r="H598" s="60"/>
      <c r="I598" s="395"/>
      <c r="J598" s="395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</row>
    <row r="599" ht="15.75" customHeight="1">
      <c r="A599" s="60"/>
      <c r="B599" s="60"/>
      <c r="C599" s="60"/>
      <c r="D599" s="60"/>
      <c r="E599" s="60"/>
      <c r="F599" s="393"/>
      <c r="G599" s="394"/>
      <c r="H599" s="60"/>
      <c r="I599" s="395"/>
      <c r="J599" s="395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</row>
    <row r="600" ht="15.75" customHeight="1">
      <c r="A600" s="60"/>
      <c r="B600" s="60"/>
      <c r="C600" s="60"/>
      <c r="D600" s="60"/>
      <c r="E600" s="60"/>
      <c r="F600" s="393"/>
      <c r="G600" s="394"/>
      <c r="H600" s="60"/>
      <c r="I600" s="395"/>
      <c r="J600" s="395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</row>
    <row r="601" ht="15.75" customHeight="1">
      <c r="A601" s="60"/>
      <c r="B601" s="60"/>
      <c r="C601" s="60"/>
      <c r="D601" s="60"/>
      <c r="E601" s="60"/>
      <c r="F601" s="393"/>
      <c r="G601" s="394"/>
      <c r="H601" s="60"/>
      <c r="I601" s="395"/>
      <c r="J601" s="395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</row>
    <row r="602" ht="15.75" customHeight="1">
      <c r="A602" s="60"/>
      <c r="B602" s="60"/>
      <c r="C602" s="60"/>
      <c r="D602" s="60"/>
      <c r="E602" s="60"/>
      <c r="F602" s="393"/>
      <c r="G602" s="394"/>
      <c r="H602" s="60"/>
      <c r="I602" s="395"/>
      <c r="J602" s="395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</row>
    <row r="603" ht="15.75" customHeight="1">
      <c r="A603" s="60"/>
      <c r="B603" s="60"/>
      <c r="C603" s="60"/>
      <c r="D603" s="60"/>
      <c r="E603" s="60"/>
      <c r="F603" s="393"/>
      <c r="G603" s="394"/>
      <c r="H603" s="60"/>
      <c r="I603" s="395"/>
      <c r="J603" s="395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</row>
    <row r="604" ht="15.75" customHeight="1">
      <c r="A604" s="60"/>
      <c r="B604" s="60"/>
      <c r="C604" s="60"/>
      <c r="D604" s="60"/>
      <c r="E604" s="60"/>
      <c r="F604" s="393"/>
      <c r="G604" s="394"/>
      <c r="H604" s="60"/>
      <c r="I604" s="395"/>
      <c r="J604" s="395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</row>
    <row r="605" ht="15.75" customHeight="1">
      <c r="A605" s="60"/>
      <c r="B605" s="60"/>
      <c r="C605" s="60"/>
      <c r="D605" s="60"/>
      <c r="E605" s="60"/>
      <c r="F605" s="393"/>
      <c r="G605" s="394"/>
      <c r="H605" s="60"/>
      <c r="I605" s="395"/>
      <c r="J605" s="395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</row>
    <row r="606" ht="15.75" customHeight="1">
      <c r="A606" s="60"/>
      <c r="B606" s="60"/>
      <c r="C606" s="60"/>
      <c r="D606" s="60"/>
      <c r="E606" s="60"/>
      <c r="F606" s="393"/>
      <c r="G606" s="394"/>
      <c r="H606" s="60"/>
      <c r="I606" s="395"/>
      <c r="J606" s="395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</row>
    <row r="607" ht="15.75" customHeight="1">
      <c r="A607" s="60"/>
      <c r="B607" s="60"/>
      <c r="C607" s="60"/>
      <c r="D607" s="60"/>
      <c r="E607" s="60"/>
      <c r="F607" s="393"/>
      <c r="G607" s="394"/>
      <c r="H607" s="60"/>
      <c r="I607" s="395"/>
      <c r="J607" s="395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</row>
    <row r="608" ht="15.75" customHeight="1">
      <c r="A608" s="60"/>
      <c r="B608" s="60"/>
      <c r="C608" s="60"/>
      <c r="D608" s="60"/>
      <c r="E608" s="60"/>
      <c r="F608" s="393"/>
      <c r="G608" s="394"/>
      <c r="H608" s="60"/>
      <c r="I608" s="395"/>
      <c r="J608" s="395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</row>
    <row r="609" ht="15.75" customHeight="1">
      <c r="A609" s="60"/>
      <c r="B609" s="60"/>
      <c r="C609" s="60"/>
      <c r="D609" s="60"/>
      <c r="E609" s="60"/>
      <c r="F609" s="393"/>
      <c r="G609" s="394"/>
      <c r="H609" s="60"/>
      <c r="I609" s="395"/>
      <c r="J609" s="395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</row>
    <row r="610" ht="15.75" customHeight="1">
      <c r="A610" s="60"/>
      <c r="B610" s="60"/>
      <c r="C610" s="60"/>
      <c r="D610" s="60"/>
      <c r="E610" s="60"/>
      <c r="F610" s="393"/>
      <c r="G610" s="394"/>
      <c r="H610" s="60"/>
      <c r="I610" s="395"/>
      <c r="J610" s="395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</row>
    <row r="611" ht="15.75" customHeight="1">
      <c r="A611" s="60"/>
      <c r="B611" s="60"/>
      <c r="C611" s="60"/>
      <c r="D611" s="60"/>
      <c r="E611" s="60"/>
      <c r="F611" s="393"/>
      <c r="G611" s="394"/>
      <c r="H611" s="60"/>
      <c r="I611" s="395"/>
      <c r="J611" s="395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</row>
    <row r="612" ht="15.75" customHeight="1">
      <c r="A612" s="60"/>
      <c r="B612" s="60"/>
      <c r="C612" s="60"/>
      <c r="D612" s="60"/>
      <c r="E612" s="60"/>
      <c r="F612" s="393"/>
      <c r="G612" s="394"/>
      <c r="H612" s="60"/>
      <c r="I612" s="395"/>
      <c r="J612" s="395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</row>
    <row r="613" ht="15.75" customHeight="1">
      <c r="A613" s="60"/>
      <c r="B613" s="60"/>
      <c r="C613" s="60"/>
      <c r="D613" s="60"/>
      <c r="E613" s="60"/>
      <c r="F613" s="393"/>
      <c r="G613" s="394"/>
      <c r="H613" s="60"/>
      <c r="I613" s="395"/>
      <c r="J613" s="395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</row>
    <row r="614" ht="15.75" customHeight="1">
      <c r="A614" s="60"/>
      <c r="B614" s="60"/>
      <c r="C614" s="60"/>
      <c r="D614" s="60"/>
      <c r="E614" s="60"/>
      <c r="F614" s="393"/>
      <c r="G614" s="394"/>
      <c r="H614" s="60"/>
      <c r="I614" s="395"/>
      <c r="J614" s="395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</row>
    <row r="615" ht="15.75" customHeight="1">
      <c r="A615" s="60"/>
      <c r="B615" s="60"/>
      <c r="C615" s="60"/>
      <c r="D615" s="60"/>
      <c r="E615" s="60"/>
      <c r="F615" s="393"/>
      <c r="G615" s="394"/>
      <c r="H615" s="60"/>
      <c r="I615" s="395"/>
      <c r="J615" s="395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</row>
    <row r="616" ht="15.75" customHeight="1">
      <c r="A616" s="60"/>
      <c r="B616" s="60"/>
      <c r="C616" s="60"/>
      <c r="D616" s="60"/>
      <c r="E616" s="60"/>
      <c r="F616" s="393"/>
      <c r="G616" s="394"/>
      <c r="H616" s="60"/>
      <c r="I616" s="395"/>
      <c r="J616" s="395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</row>
    <row r="617" ht="15.75" customHeight="1">
      <c r="A617" s="60"/>
      <c r="B617" s="60"/>
      <c r="C617" s="60"/>
      <c r="D617" s="60"/>
      <c r="E617" s="60"/>
      <c r="F617" s="393"/>
      <c r="G617" s="394"/>
      <c r="H617" s="60"/>
      <c r="I617" s="395"/>
      <c r="J617" s="395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</row>
    <row r="618" ht="15.75" customHeight="1">
      <c r="A618" s="60"/>
      <c r="B618" s="60"/>
      <c r="C618" s="60"/>
      <c r="D618" s="60"/>
      <c r="E618" s="60"/>
      <c r="F618" s="393"/>
      <c r="G618" s="394"/>
      <c r="H618" s="60"/>
      <c r="I618" s="395"/>
      <c r="J618" s="395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</row>
    <row r="619" ht="15.75" customHeight="1">
      <c r="A619" s="60"/>
      <c r="B619" s="60"/>
      <c r="C619" s="60"/>
      <c r="D619" s="60"/>
      <c r="E619" s="60"/>
      <c r="F619" s="393"/>
      <c r="G619" s="394"/>
      <c r="H619" s="60"/>
      <c r="I619" s="395"/>
      <c r="J619" s="395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</row>
    <row r="620" ht="15.75" customHeight="1">
      <c r="A620" s="60"/>
      <c r="B620" s="60"/>
      <c r="C620" s="60"/>
      <c r="D620" s="60"/>
      <c r="E620" s="60"/>
      <c r="F620" s="393"/>
      <c r="G620" s="394"/>
      <c r="H620" s="60"/>
      <c r="I620" s="395"/>
      <c r="J620" s="395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</row>
    <row r="621" ht="15.75" customHeight="1">
      <c r="A621" s="60"/>
      <c r="B621" s="60"/>
      <c r="C621" s="60"/>
      <c r="D621" s="60"/>
      <c r="E621" s="60"/>
      <c r="F621" s="393"/>
      <c r="G621" s="394"/>
      <c r="H621" s="60"/>
      <c r="I621" s="395"/>
      <c r="J621" s="395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</row>
    <row r="622" ht="15.75" customHeight="1">
      <c r="A622" s="60"/>
      <c r="B622" s="60"/>
      <c r="C622" s="60"/>
      <c r="D622" s="60"/>
      <c r="E622" s="60"/>
      <c r="F622" s="393"/>
      <c r="G622" s="394"/>
      <c r="H622" s="60"/>
      <c r="I622" s="395"/>
      <c r="J622" s="395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</row>
    <row r="623" ht="15.75" customHeight="1">
      <c r="A623" s="60"/>
      <c r="B623" s="60"/>
      <c r="C623" s="60"/>
      <c r="D623" s="60"/>
      <c r="E623" s="60"/>
      <c r="F623" s="393"/>
      <c r="G623" s="394"/>
      <c r="H623" s="60"/>
      <c r="I623" s="395"/>
      <c r="J623" s="395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</row>
    <row r="624" ht="15.75" customHeight="1">
      <c r="A624" s="60"/>
      <c r="B624" s="60"/>
      <c r="C624" s="60"/>
      <c r="D624" s="60"/>
      <c r="E624" s="60"/>
      <c r="F624" s="393"/>
      <c r="G624" s="394"/>
      <c r="H624" s="60"/>
      <c r="I624" s="395"/>
      <c r="J624" s="395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</row>
    <row r="625" ht="15.75" customHeight="1">
      <c r="A625" s="60"/>
      <c r="B625" s="60"/>
      <c r="C625" s="60"/>
      <c r="D625" s="60"/>
      <c r="E625" s="60"/>
      <c r="F625" s="393"/>
      <c r="G625" s="394"/>
      <c r="H625" s="60"/>
      <c r="I625" s="395"/>
      <c r="J625" s="395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</row>
    <row r="626" ht="15.75" customHeight="1">
      <c r="A626" s="60"/>
      <c r="B626" s="60"/>
      <c r="C626" s="60"/>
      <c r="D626" s="60"/>
      <c r="E626" s="60"/>
      <c r="F626" s="393"/>
      <c r="G626" s="394"/>
      <c r="H626" s="60"/>
      <c r="I626" s="395"/>
      <c r="J626" s="395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</row>
    <row r="627" ht="15.75" customHeight="1">
      <c r="A627" s="60"/>
      <c r="B627" s="60"/>
      <c r="C627" s="60"/>
      <c r="D627" s="60"/>
      <c r="E627" s="60"/>
      <c r="F627" s="393"/>
      <c r="G627" s="394"/>
      <c r="H627" s="60"/>
      <c r="I627" s="395"/>
      <c r="J627" s="395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</row>
    <row r="628" ht="15.75" customHeight="1">
      <c r="A628" s="60"/>
      <c r="B628" s="60"/>
      <c r="C628" s="60"/>
      <c r="D628" s="60"/>
      <c r="E628" s="60"/>
      <c r="F628" s="393"/>
      <c r="G628" s="394"/>
      <c r="H628" s="60"/>
      <c r="I628" s="395"/>
      <c r="J628" s="395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</row>
    <row r="629" ht="15.75" customHeight="1">
      <c r="A629" s="60"/>
      <c r="B629" s="60"/>
      <c r="C629" s="60"/>
      <c r="D629" s="60"/>
      <c r="E629" s="60"/>
      <c r="F629" s="393"/>
      <c r="G629" s="394"/>
      <c r="H629" s="60"/>
      <c r="I629" s="395"/>
      <c r="J629" s="395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</row>
    <row r="630" ht="15.75" customHeight="1">
      <c r="A630" s="60"/>
      <c r="B630" s="60"/>
      <c r="C630" s="60"/>
      <c r="D630" s="60"/>
      <c r="E630" s="60"/>
      <c r="F630" s="393"/>
      <c r="G630" s="394"/>
      <c r="H630" s="60"/>
      <c r="I630" s="395"/>
      <c r="J630" s="395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</row>
    <row r="631" ht="15.75" customHeight="1">
      <c r="A631" s="60"/>
      <c r="B631" s="60"/>
      <c r="C631" s="60"/>
      <c r="D631" s="60"/>
      <c r="E631" s="60"/>
      <c r="F631" s="393"/>
      <c r="G631" s="394"/>
      <c r="H631" s="60"/>
      <c r="I631" s="395"/>
      <c r="J631" s="395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</row>
    <row r="632" ht="15.75" customHeight="1">
      <c r="A632" s="60"/>
      <c r="B632" s="60"/>
      <c r="C632" s="60"/>
      <c r="D632" s="60"/>
      <c r="E632" s="60"/>
      <c r="F632" s="393"/>
      <c r="G632" s="394"/>
      <c r="H632" s="60"/>
      <c r="I632" s="395"/>
      <c r="J632" s="395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</row>
    <row r="633" ht="15.75" customHeight="1">
      <c r="A633" s="60"/>
      <c r="B633" s="60"/>
      <c r="C633" s="60"/>
      <c r="D633" s="60"/>
      <c r="E633" s="60"/>
      <c r="F633" s="393"/>
      <c r="G633" s="394"/>
      <c r="H633" s="60"/>
      <c r="I633" s="395"/>
      <c r="J633" s="395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</row>
    <row r="634" ht="15.75" customHeight="1">
      <c r="A634" s="60"/>
      <c r="B634" s="60"/>
      <c r="C634" s="60"/>
      <c r="D634" s="60"/>
      <c r="E634" s="60"/>
      <c r="F634" s="393"/>
      <c r="G634" s="394"/>
      <c r="H634" s="60"/>
      <c r="I634" s="395"/>
      <c r="J634" s="395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</row>
    <row r="635" ht="15.75" customHeight="1">
      <c r="A635" s="60"/>
      <c r="B635" s="60"/>
      <c r="C635" s="60"/>
      <c r="D635" s="60"/>
      <c r="E635" s="60"/>
      <c r="F635" s="393"/>
      <c r="G635" s="394"/>
      <c r="H635" s="60"/>
      <c r="I635" s="395"/>
      <c r="J635" s="395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</row>
    <row r="636" ht="15.75" customHeight="1">
      <c r="A636" s="60"/>
      <c r="B636" s="60"/>
      <c r="C636" s="60"/>
      <c r="D636" s="60"/>
      <c r="E636" s="60"/>
      <c r="F636" s="393"/>
      <c r="G636" s="394"/>
      <c r="H636" s="60"/>
      <c r="I636" s="395"/>
      <c r="J636" s="395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</row>
    <row r="637" ht="15.75" customHeight="1">
      <c r="A637" s="60"/>
      <c r="B637" s="60"/>
      <c r="C637" s="60"/>
      <c r="D637" s="60"/>
      <c r="E637" s="60"/>
      <c r="F637" s="393"/>
      <c r="G637" s="394"/>
      <c r="H637" s="60"/>
      <c r="I637" s="395"/>
      <c r="J637" s="395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</row>
    <row r="638" ht="15.75" customHeight="1">
      <c r="A638" s="60"/>
      <c r="B638" s="60"/>
      <c r="C638" s="60"/>
      <c r="D638" s="60"/>
      <c r="E638" s="60"/>
      <c r="F638" s="393"/>
      <c r="G638" s="394"/>
      <c r="H638" s="60"/>
      <c r="I638" s="395"/>
      <c r="J638" s="395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</row>
    <row r="639" ht="15.75" customHeight="1">
      <c r="A639" s="60"/>
      <c r="B639" s="60"/>
      <c r="C639" s="60"/>
      <c r="D639" s="60"/>
      <c r="E639" s="60"/>
      <c r="F639" s="393"/>
      <c r="G639" s="394"/>
      <c r="H639" s="60"/>
      <c r="I639" s="395"/>
      <c r="J639" s="395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</row>
    <row r="640" ht="15.75" customHeight="1">
      <c r="A640" s="60"/>
      <c r="B640" s="60"/>
      <c r="C640" s="60"/>
      <c r="D640" s="60"/>
      <c r="E640" s="60"/>
      <c r="F640" s="393"/>
      <c r="G640" s="394"/>
      <c r="H640" s="60"/>
      <c r="I640" s="395"/>
      <c r="J640" s="395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</row>
    <row r="641" ht="15.75" customHeight="1">
      <c r="A641" s="60"/>
      <c r="B641" s="60"/>
      <c r="C641" s="60"/>
      <c r="D641" s="60"/>
      <c r="E641" s="60"/>
      <c r="F641" s="393"/>
      <c r="G641" s="394"/>
      <c r="H641" s="60"/>
      <c r="I641" s="395"/>
      <c r="J641" s="395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</row>
    <row r="642" ht="15.75" customHeight="1">
      <c r="A642" s="60"/>
      <c r="B642" s="60"/>
      <c r="C642" s="60"/>
      <c r="D642" s="60"/>
      <c r="E642" s="60"/>
      <c r="F642" s="393"/>
      <c r="G642" s="394"/>
      <c r="H642" s="60"/>
      <c r="I642" s="395"/>
      <c r="J642" s="395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</row>
    <row r="643" ht="15.75" customHeight="1">
      <c r="A643" s="60"/>
      <c r="B643" s="60"/>
      <c r="C643" s="60"/>
      <c r="D643" s="60"/>
      <c r="E643" s="60"/>
      <c r="F643" s="393"/>
      <c r="G643" s="394"/>
      <c r="H643" s="60"/>
      <c r="I643" s="395"/>
      <c r="J643" s="395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</row>
    <row r="644" ht="15.75" customHeight="1">
      <c r="A644" s="60"/>
      <c r="B644" s="60"/>
      <c r="C644" s="60"/>
      <c r="D644" s="60"/>
      <c r="E644" s="60"/>
      <c r="F644" s="393"/>
      <c r="G644" s="394"/>
      <c r="H644" s="60"/>
      <c r="I644" s="395"/>
      <c r="J644" s="395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</row>
    <row r="645" ht="15.75" customHeight="1">
      <c r="A645" s="60"/>
      <c r="B645" s="60"/>
      <c r="C645" s="60"/>
      <c r="D645" s="60"/>
      <c r="E645" s="60"/>
      <c r="F645" s="393"/>
      <c r="G645" s="394"/>
      <c r="H645" s="60"/>
      <c r="I645" s="395"/>
      <c r="J645" s="395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</row>
    <row r="646" ht="15.75" customHeight="1">
      <c r="A646" s="60"/>
      <c r="B646" s="60"/>
      <c r="C646" s="60"/>
      <c r="D646" s="60"/>
      <c r="E646" s="60"/>
      <c r="F646" s="393"/>
      <c r="G646" s="394"/>
      <c r="H646" s="60"/>
      <c r="I646" s="395"/>
      <c r="J646" s="395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</row>
    <row r="647" ht="15.75" customHeight="1">
      <c r="A647" s="60"/>
      <c r="B647" s="60"/>
      <c r="C647" s="60"/>
      <c r="D647" s="60"/>
      <c r="E647" s="60"/>
      <c r="F647" s="393"/>
      <c r="G647" s="394"/>
      <c r="H647" s="60"/>
      <c r="I647" s="395"/>
      <c r="J647" s="395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</row>
    <row r="648" ht="15.75" customHeight="1">
      <c r="A648" s="60"/>
      <c r="B648" s="60"/>
      <c r="C648" s="60"/>
      <c r="D648" s="60"/>
      <c r="E648" s="60"/>
      <c r="F648" s="393"/>
      <c r="G648" s="394"/>
      <c r="H648" s="60"/>
      <c r="I648" s="395"/>
      <c r="J648" s="395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</row>
    <row r="649" ht="15.75" customHeight="1">
      <c r="A649" s="60"/>
      <c r="B649" s="60"/>
      <c r="C649" s="60"/>
      <c r="D649" s="60"/>
      <c r="E649" s="60"/>
      <c r="F649" s="393"/>
      <c r="G649" s="394"/>
      <c r="H649" s="60"/>
      <c r="I649" s="395"/>
      <c r="J649" s="395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</row>
    <row r="650" ht="15.75" customHeight="1">
      <c r="A650" s="60"/>
      <c r="B650" s="60"/>
      <c r="C650" s="60"/>
      <c r="D650" s="60"/>
      <c r="E650" s="60"/>
      <c r="F650" s="393"/>
      <c r="G650" s="394"/>
      <c r="H650" s="60"/>
      <c r="I650" s="395"/>
      <c r="J650" s="395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</row>
    <row r="651" ht="15.75" customHeight="1">
      <c r="A651" s="60"/>
      <c r="B651" s="60"/>
      <c r="C651" s="60"/>
      <c r="D651" s="60"/>
      <c r="E651" s="60"/>
      <c r="F651" s="393"/>
      <c r="G651" s="394"/>
      <c r="H651" s="60"/>
      <c r="I651" s="395"/>
      <c r="J651" s="395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</row>
    <row r="652" ht="15.75" customHeight="1">
      <c r="A652" s="60"/>
      <c r="B652" s="60"/>
      <c r="C652" s="60"/>
      <c r="D652" s="60"/>
      <c r="E652" s="60"/>
      <c r="F652" s="393"/>
      <c r="G652" s="394"/>
      <c r="H652" s="60"/>
      <c r="I652" s="395"/>
      <c r="J652" s="395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</row>
    <row r="653" ht="15.75" customHeight="1">
      <c r="A653" s="60"/>
      <c r="B653" s="60"/>
      <c r="C653" s="60"/>
      <c r="D653" s="60"/>
      <c r="E653" s="60"/>
      <c r="F653" s="393"/>
      <c r="G653" s="394"/>
      <c r="H653" s="60"/>
      <c r="I653" s="395"/>
      <c r="J653" s="395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</row>
    <row r="654" ht="15.75" customHeight="1">
      <c r="A654" s="60"/>
      <c r="B654" s="60"/>
      <c r="C654" s="60"/>
      <c r="D654" s="60"/>
      <c r="E654" s="60"/>
      <c r="F654" s="393"/>
      <c r="G654" s="394"/>
      <c r="H654" s="60"/>
      <c r="I654" s="395"/>
      <c r="J654" s="395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</row>
    <row r="655" ht="15.75" customHeight="1">
      <c r="A655" s="60"/>
      <c r="B655" s="60"/>
      <c r="C655" s="60"/>
      <c r="D655" s="60"/>
      <c r="E655" s="60"/>
      <c r="F655" s="393"/>
      <c r="G655" s="394"/>
      <c r="H655" s="60"/>
      <c r="I655" s="395"/>
      <c r="J655" s="395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</row>
    <row r="656" ht="15.75" customHeight="1">
      <c r="A656" s="60"/>
      <c r="B656" s="60"/>
      <c r="C656" s="60"/>
      <c r="D656" s="60"/>
      <c r="E656" s="60"/>
      <c r="F656" s="393"/>
      <c r="G656" s="394"/>
      <c r="H656" s="60"/>
      <c r="I656" s="395"/>
      <c r="J656" s="395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</row>
    <row r="657" ht="15.75" customHeight="1">
      <c r="A657" s="60"/>
      <c r="B657" s="60"/>
      <c r="C657" s="60"/>
      <c r="D657" s="60"/>
      <c r="E657" s="60"/>
      <c r="F657" s="393"/>
      <c r="G657" s="394"/>
      <c r="H657" s="60"/>
      <c r="I657" s="395"/>
      <c r="J657" s="395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</row>
    <row r="658" ht="15.75" customHeight="1">
      <c r="A658" s="60"/>
      <c r="B658" s="60"/>
      <c r="C658" s="60"/>
      <c r="D658" s="60"/>
      <c r="E658" s="60"/>
      <c r="F658" s="393"/>
      <c r="G658" s="394"/>
      <c r="H658" s="60"/>
      <c r="I658" s="395"/>
      <c r="J658" s="395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</row>
    <row r="659" ht="15.75" customHeight="1">
      <c r="A659" s="60"/>
      <c r="B659" s="60"/>
      <c r="C659" s="60"/>
      <c r="D659" s="60"/>
      <c r="E659" s="60"/>
      <c r="F659" s="393"/>
      <c r="G659" s="394"/>
      <c r="H659" s="60"/>
      <c r="I659" s="395"/>
      <c r="J659" s="395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</row>
    <row r="660" ht="15.75" customHeight="1">
      <c r="A660" s="60"/>
      <c r="B660" s="60"/>
      <c r="C660" s="60"/>
      <c r="D660" s="60"/>
      <c r="E660" s="60"/>
      <c r="F660" s="393"/>
      <c r="G660" s="394"/>
      <c r="H660" s="60"/>
      <c r="I660" s="395"/>
      <c r="J660" s="395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</row>
    <row r="661" ht="15.75" customHeight="1">
      <c r="A661" s="60"/>
      <c r="B661" s="60"/>
      <c r="C661" s="60"/>
      <c r="D661" s="60"/>
      <c r="E661" s="60"/>
      <c r="F661" s="393"/>
      <c r="G661" s="394"/>
      <c r="H661" s="60"/>
      <c r="I661" s="395"/>
      <c r="J661" s="395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</row>
    <row r="662" ht="15.75" customHeight="1">
      <c r="A662" s="60"/>
      <c r="B662" s="60"/>
      <c r="C662" s="60"/>
      <c r="D662" s="60"/>
      <c r="E662" s="60"/>
      <c r="F662" s="393"/>
      <c r="G662" s="394"/>
      <c r="H662" s="60"/>
      <c r="I662" s="395"/>
      <c r="J662" s="395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</row>
    <row r="663" ht="15.75" customHeight="1">
      <c r="A663" s="60"/>
      <c r="B663" s="60"/>
      <c r="C663" s="60"/>
      <c r="D663" s="60"/>
      <c r="E663" s="60"/>
      <c r="F663" s="393"/>
      <c r="G663" s="394"/>
      <c r="H663" s="60"/>
      <c r="I663" s="395"/>
      <c r="J663" s="395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</row>
    <row r="664" ht="15.75" customHeight="1">
      <c r="A664" s="60"/>
      <c r="B664" s="60"/>
      <c r="C664" s="60"/>
      <c r="D664" s="60"/>
      <c r="E664" s="60"/>
      <c r="F664" s="393"/>
      <c r="G664" s="394"/>
      <c r="H664" s="60"/>
      <c r="I664" s="395"/>
      <c r="J664" s="395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</row>
    <row r="665" ht="15.75" customHeight="1">
      <c r="A665" s="60"/>
      <c r="B665" s="60"/>
      <c r="C665" s="60"/>
      <c r="D665" s="60"/>
      <c r="E665" s="60"/>
      <c r="F665" s="393"/>
      <c r="G665" s="394"/>
      <c r="H665" s="60"/>
      <c r="I665" s="395"/>
      <c r="J665" s="395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</row>
    <row r="666" ht="15.75" customHeight="1">
      <c r="A666" s="60"/>
      <c r="B666" s="60"/>
      <c r="C666" s="60"/>
      <c r="D666" s="60"/>
      <c r="E666" s="60"/>
      <c r="F666" s="393"/>
      <c r="G666" s="394"/>
      <c r="H666" s="60"/>
      <c r="I666" s="395"/>
      <c r="J666" s="395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</row>
    <row r="667" ht="15.75" customHeight="1">
      <c r="A667" s="60"/>
      <c r="B667" s="60"/>
      <c r="C667" s="60"/>
      <c r="D667" s="60"/>
      <c r="E667" s="60"/>
      <c r="F667" s="393"/>
      <c r="G667" s="394"/>
      <c r="H667" s="60"/>
      <c r="I667" s="395"/>
      <c r="J667" s="395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</row>
    <row r="668" ht="15.75" customHeight="1">
      <c r="A668" s="60"/>
      <c r="B668" s="60"/>
      <c r="C668" s="60"/>
      <c r="D668" s="60"/>
      <c r="E668" s="60"/>
      <c r="F668" s="393"/>
      <c r="G668" s="394"/>
      <c r="H668" s="60"/>
      <c r="I668" s="395"/>
      <c r="J668" s="395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</row>
    <row r="669" ht="15.75" customHeight="1">
      <c r="A669" s="60"/>
      <c r="B669" s="60"/>
      <c r="C669" s="60"/>
      <c r="D669" s="60"/>
      <c r="E669" s="60"/>
      <c r="F669" s="393"/>
      <c r="G669" s="394"/>
      <c r="H669" s="60"/>
      <c r="I669" s="395"/>
      <c r="J669" s="395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</row>
    <row r="670" ht="15.75" customHeight="1">
      <c r="A670" s="60"/>
      <c r="B670" s="60"/>
      <c r="C670" s="60"/>
      <c r="D670" s="60"/>
      <c r="E670" s="60"/>
      <c r="F670" s="393"/>
      <c r="G670" s="394"/>
      <c r="H670" s="60"/>
      <c r="I670" s="395"/>
      <c r="J670" s="395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</row>
    <row r="671" ht="15.75" customHeight="1">
      <c r="A671" s="60"/>
      <c r="B671" s="60"/>
      <c r="C671" s="60"/>
      <c r="D671" s="60"/>
      <c r="E671" s="60"/>
      <c r="F671" s="393"/>
      <c r="G671" s="394"/>
      <c r="H671" s="60"/>
      <c r="I671" s="395"/>
      <c r="J671" s="395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</row>
    <row r="672" ht="15.75" customHeight="1">
      <c r="A672" s="60"/>
      <c r="B672" s="60"/>
      <c r="C672" s="60"/>
      <c r="D672" s="60"/>
      <c r="E672" s="60"/>
      <c r="F672" s="393"/>
      <c r="G672" s="394"/>
      <c r="H672" s="60"/>
      <c r="I672" s="395"/>
      <c r="J672" s="395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</row>
    <row r="673" ht="15.75" customHeight="1">
      <c r="A673" s="60"/>
      <c r="B673" s="60"/>
      <c r="C673" s="60"/>
      <c r="D673" s="60"/>
      <c r="E673" s="60"/>
      <c r="F673" s="393"/>
      <c r="G673" s="394"/>
      <c r="H673" s="60"/>
      <c r="I673" s="395"/>
      <c r="J673" s="395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</row>
    <row r="674" ht="15.75" customHeight="1">
      <c r="A674" s="60"/>
      <c r="B674" s="60"/>
      <c r="C674" s="60"/>
      <c r="D674" s="60"/>
      <c r="E674" s="60"/>
      <c r="F674" s="393"/>
      <c r="G674" s="394"/>
      <c r="H674" s="60"/>
      <c r="I674" s="395"/>
      <c r="J674" s="395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</row>
    <row r="675" ht="15.75" customHeight="1">
      <c r="A675" s="60"/>
      <c r="B675" s="60"/>
      <c r="C675" s="60"/>
      <c r="D675" s="60"/>
      <c r="E675" s="60"/>
      <c r="F675" s="393"/>
      <c r="G675" s="394"/>
      <c r="H675" s="60"/>
      <c r="I675" s="395"/>
      <c r="J675" s="395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</row>
    <row r="676" ht="15.75" customHeight="1">
      <c r="A676" s="60"/>
      <c r="B676" s="60"/>
      <c r="C676" s="60"/>
      <c r="D676" s="60"/>
      <c r="E676" s="60"/>
      <c r="F676" s="393"/>
      <c r="G676" s="394"/>
      <c r="H676" s="60"/>
      <c r="I676" s="395"/>
      <c r="J676" s="395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</row>
    <row r="677" ht="15.75" customHeight="1">
      <c r="A677" s="60"/>
      <c r="B677" s="60"/>
      <c r="C677" s="60"/>
      <c r="D677" s="60"/>
      <c r="E677" s="60"/>
      <c r="F677" s="393"/>
      <c r="G677" s="394"/>
      <c r="H677" s="60"/>
      <c r="I677" s="395"/>
      <c r="J677" s="395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</row>
    <row r="678" ht="15.75" customHeight="1">
      <c r="A678" s="60"/>
      <c r="B678" s="60"/>
      <c r="C678" s="60"/>
      <c r="D678" s="60"/>
      <c r="E678" s="60"/>
      <c r="F678" s="393"/>
      <c r="G678" s="394"/>
      <c r="H678" s="60"/>
      <c r="I678" s="395"/>
      <c r="J678" s="395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</row>
    <row r="679" ht="15.75" customHeight="1">
      <c r="A679" s="60"/>
      <c r="B679" s="60"/>
      <c r="C679" s="60"/>
      <c r="D679" s="60"/>
      <c r="E679" s="60"/>
      <c r="F679" s="393"/>
      <c r="G679" s="394"/>
      <c r="H679" s="60"/>
      <c r="I679" s="395"/>
      <c r="J679" s="395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</row>
    <row r="680" ht="15.75" customHeight="1">
      <c r="A680" s="60"/>
      <c r="B680" s="60"/>
      <c r="C680" s="60"/>
      <c r="D680" s="60"/>
      <c r="E680" s="60"/>
      <c r="F680" s="393"/>
      <c r="G680" s="394"/>
      <c r="H680" s="60"/>
      <c r="I680" s="395"/>
      <c r="J680" s="395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</row>
    <row r="681" ht="15.75" customHeight="1">
      <c r="A681" s="60"/>
      <c r="B681" s="60"/>
      <c r="C681" s="60"/>
      <c r="D681" s="60"/>
      <c r="E681" s="60"/>
      <c r="F681" s="393"/>
      <c r="G681" s="394"/>
      <c r="H681" s="60"/>
      <c r="I681" s="395"/>
      <c r="J681" s="395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</row>
    <row r="682" ht="15.75" customHeight="1">
      <c r="A682" s="60"/>
      <c r="B682" s="60"/>
      <c r="C682" s="60"/>
      <c r="D682" s="60"/>
      <c r="E682" s="60"/>
      <c r="F682" s="393"/>
      <c r="G682" s="394"/>
      <c r="H682" s="60"/>
      <c r="I682" s="395"/>
      <c r="J682" s="395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</row>
    <row r="683" ht="15.75" customHeight="1">
      <c r="A683" s="60"/>
      <c r="B683" s="60"/>
      <c r="C683" s="60"/>
      <c r="D683" s="60"/>
      <c r="E683" s="60"/>
      <c r="F683" s="393"/>
      <c r="G683" s="394"/>
      <c r="H683" s="60"/>
      <c r="I683" s="395"/>
      <c r="J683" s="395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</row>
    <row r="684" ht="15.75" customHeight="1">
      <c r="A684" s="60"/>
      <c r="B684" s="60"/>
      <c r="C684" s="60"/>
      <c r="D684" s="60"/>
      <c r="E684" s="60"/>
      <c r="F684" s="393"/>
      <c r="G684" s="394"/>
      <c r="H684" s="60"/>
      <c r="I684" s="395"/>
      <c r="J684" s="395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</row>
    <row r="685" ht="15.75" customHeight="1">
      <c r="A685" s="60"/>
      <c r="B685" s="60"/>
      <c r="C685" s="60"/>
      <c r="D685" s="60"/>
      <c r="E685" s="60"/>
      <c r="F685" s="393"/>
      <c r="G685" s="394"/>
      <c r="H685" s="60"/>
      <c r="I685" s="395"/>
      <c r="J685" s="395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</row>
    <row r="686" ht="15.75" customHeight="1">
      <c r="A686" s="60"/>
      <c r="B686" s="60"/>
      <c r="C686" s="60"/>
      <c r="D686" s="60"/>
      <c r="E686" s="60"/>
      <c r="F686" s="393"/>
      <c r="G686" s="394"/>
      <c r="H686" s="60"/>
      <c r="I686" s="395"/>
      <c r="J686" s="395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</row>
    <row r="687" ht="15.75" customHeight="1">
      <c r="A687" s="60"/>
      <c r="B687" s="60"/>
      <c r="C687" s="60"/>
      <c r="D687" s="60"/>
      <c r="E687" s="60"/>
      <c r="F687" s="393"/>
      <c r="G687" s="394"/>
      <c r="H687" s="60"/>
      <c r="I687" s="395"/>
      <c r="J687" s="395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</row>
    <row r="688" ht="15.75" customHeight="1">
      <c r="A688" s="60"/>
      <c r="B688" s="60"/>
      <c r="C688" s="60"/>
      <c r="D688" s="60"/>
      <c r="E688" s="60"/>
      <c r="F688" s="393"/>
      <c r="G688" s="394"/>
      <c r="H688" s="60"/>
      <c r="I688" s="395"/>
      <c r="J688" s="395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</row>
    <row r="689" ht="15.75" customHeight="1">
      <c r="A689" s="60"/>
      <c r="B689" s="60"/>
      <c r="C689" s="60"/>
      <c r="D689" s="60"/>
      <c r="E689" s="60"/>
      <c r="F689" s="393"/>
      <c r="G689" s="394"/>
      <c r="H689" s="60"/>
      <c r="I689" s="395"/>
      <c r="J689" s="395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</row>
    <row r="690" ht="15.75" customHeight="1">
      <c r="A690" s="60"/>
      <c r="B690" s="60"/>
      <c r="C690" s="60"/>
      <c r="D690" s="60"/>
      <c r="E690" s="60"/>
      <c r="F690" s="393"/>
      <c r="G690" s="394"/>
      <c r="H690" s="60"/>
      <c r="I690" s="395"/>
      <c r="J690" s="395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</row>
    <row r="691" ht="15.75" customHeight="1">
      <c r="A691" s="60"/>
      <c r="B691" s="60"/>
      <c r="C691" s="60"/>
      <c r="D691" s="60"/>
      <c r="E691" s="60"/>
      <c r="F691" s="393"/>
      <c r="G691" s="394"/>
      <c r="H691" s="60"/>
      <c r="I691" s="395"/>
      <c r="J691" s="395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</row>
    <row r="692" ht="15.75" customHeight="1">
      <c r="A692" s="60"/>
      <c r="B692" s="60"/>
      <c r="C692" s="60"/>
      <c r="D692" s="60"/>
      <c r="E692" s="60"/>
      <c r="F692" s="393"/>
      <c r="G692" s="394"/>
      <c r="H692" s="60"/>
      <c r="I692" s="395"/>
      <c r="J692" s="395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</row>
    <row r="693" ht="15.75" customHeight="1">
      <c r="A693" s="60"/>
      <c r="B693" s="60"/>
      <c r="C693" s="60"/>
      <c r="D693" s="60"/>
      <c r="E693" s="60"/>
      <c r="F693" s="393"/>
      <c r="G693" s="394"/>
      <c r="H693" s="60"/>
      <c r="I693" s="395"/>
      <c r="J693" s="395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</row>
    <row r="694" ht="15.75" customHeight="1">
      <c r="A694" s="60"/>
      <c r="B694" s="60"/>
      <c r="C694" s="60"/>
      <c r="D694" s="60"/>
      <c r="E694" s="60"/>
      <c r="F694" s="393"/>
      <c r="G694" s="394"/>
      <c r="H694" s="60"/>
      <c r="I694" s="395"/>
      <c r="J694" s="395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</row>
    <row r="695" ht="15.75" customHeight="1">
      <c r="A695" s="60"/>
      <c r="B695" s="60"/>
      <c r="C695" s="60"/>
      <c r="D695" s="60"/>
      <c r="E695" s="60"/>
      <c r="F695" s="393"/>
      <c r="G695" s="394"/>
      <c r="H695" s="60"/>
      <c r="I695" s="395"/>
      <c r="J695" s="395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</row>
    <row r="696" ht="15.75" customHeight="1">
      <c r="A696" s="60"/>
      <c r="B696" s="60"/>
      <c r="C696" s="60"/>
      <c r="D696" s="60"/>
      <c r="E696" s="60"/>
      <c r="F696" s="393"/>
      <c r="G696" s="394"/>
      <c r="H696" s="60"/>
      <c r="I696" s="395"/>
      <c r="J696" s="395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</row>
    <row r="697" ht="15.75" customHeight="1">
      <c r="A697" s="60"/>
      <c r="B697" s="60"/>
      <c r="C697" s="60"/>
      <c r="D697" s="60"/>
      <c r="E697" s="60"/>
      <c r="F697" s="393"/>
      <c r="G697" s="394"/>
      <c r="H697" s="60"/>
      <c r="I697" s="395"/>
      <c r="J697" s="395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</row>
    <row r="698" ht="15.75" customHeight="1">
      <c r="A698" s="60"/>
      <c r="B698" s="60"/>
      <c r="C698" s="60"/>
      <c r="D698" s="60"/>
      <c r="E698" s="60"/>
      <c r="F698" s="393"/>
      <c r="G698" s="394"/>
      <c r="H698" s="60"/>
      <c r="I698" s="395"/>
      <c r="J698" s="395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</row>
    <row r="699" ht="15.75" customHeight="1">
      <c r="A699" s="60"/>
      <c r="B699" s="60"/>
      <c r="C699" s="60"/>
      <c r="D699" s="60"/>
      <c r="E699" s="60"/>
      <c r="F699" s="393"/>
      <c r="G699" s="394"/>
      <c r="H699" s="60"/>
      <c r="I699" s="395"/>
      <c r="J699" s="395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</row>
    <row r="700" ht="15.75" customHeight="1">
      <c r="A700" s="60"/>
      <c r="B700" s="60"/>
      <c r="C700" s="60"/>
      <c r="D700" s="60"/>
      <c r="E700" s="60"/>
      <c r="F700" s="393"/>
      <c r="G700" s="394"/>
      <c r="H700" s="60"/>
      <c r="I700" s="395"/>
      <c r="J700" s="395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</row>
    <row r="701" ht="15.75" customHeight="1">
      <c r="A701" s="60"/>
      <c r="B701" s="60"/>
      <c r="C701" s="60"/>
      <c r="D701" s="60"/>
      <c r="E701" s="60"/>
      <c r="F701" s="393"/>
      <c r="G701" s="394"/>
      <c r="H701" s="60"/>
      <c r="I701" s="395"/>
      <c r="J701" s="395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</row>
    <row r="702" ht="15.75" customHeight="1">
      <c r="A702" s="60"/>
      <c r="B702" s="60"/>
      <c r="C702" s="60"/>
      <c r="D702" s="60"/>
      <c r="E702" s="60"/>
      <c r="F702" s="393"/>
      <c r="G702" s="394"/>
      <c r="H702" s="60"/>
      <c r="I702" s="395"/>
      <c r="J702" s="395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</row>
    <row r="703" ht="15.75" customHeight="1">
      <c r="A703" s="60"/>
      <c r="B703" s="60"/>
      <c r="C703" s="60"/>
      <c r="D703" s="60"/>
      <c r="E703" s="60"/>
      <c r="F703" s="393"/>
      <c r="G703" s="394"/>
      <c r="H703" s="60"/>
      <c r="I703" s="395"/>
      <c r="J703" s="395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</row>
    <row r="704" ht="15.75" customHeight="1">
      <c r="A704" s="60"/>
      <c r="B704" s="60"/>
      <c r="C704" s="60"/>
      <c r="D704" s="60"/>
      <c r="E704" s="60"/>
      <c r="F704" s="393"/>
      <c r="G704" s="394"/>
      <c r="H704" s="60"/>
      <c r="I704" s="395"/>
      <c r="J704" s="395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</row>
    <row r="705" ht="15.75" customHeight="1">
      <c r="A705" s="60"/>
      <c r="B705" s="60"/>
      <c r="C705" s="60"/>
      <c r="D705" s="60"/>
      <c r="E705" s="60"/>
      <c r="F705" s="393"/>
      <c r="G705" s="394"/>
      <c r="H705" s="60"/>
      <c r="I705" s="395"/>
      <c r="J705" s="395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</row>
    <row r="706" ht="15.75" customHeight="1">
      <c r="A706" s="60"/>
      <c r="B706" s="60"/>
      <c r="C706" s="60"/>
      <c r="D706" s="60"/>
      <c r="E706" s="60"/>
      <c r="F706" s="393"/>
      <c r="G706" s="394"/>
      <c r="H706" s="60"/>
      <c r="I706" s="395"/>
      <c r="J706" s="395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</row>
    <row r="707" ht="15.75" customHeight="1">
      <c r="A707" s="60"/>
      <c r="B707" s="60"/>
      <c r="C707" s="60"/>
      <c r="D707" s="60"/>
      <c r="E707" s="60"/>
      <c r="F707" s="393"/>
      <c r="G707" s="394"/>
      <c r="H707" s="60"/>
      <c r="I707" s="395"/>
      <c r="J707" s="395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</row>
    <row r="708" ht="15.75" customHeight="1">
      <c r="A708" s="60"/>
      <c r="B708" s="60"/>
      <c r="C708" s="60"/>
      <c r="D708" s="60"/>
      <c r="E708" s="60"/>
      <c r="F708" s="393"/>
      <c r="G708" s="394"/>
      <c r="H708" s="60"/>
      <c r="I708" s="395"/>
      <c r="J708" s="395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</row>
    <row r="709" ht="15.75" customHeight="1">
      <c r="A709" s="60"/>
      <c r="B709" s="60"/>
      <c r="C709" s="60"/>
      <c r="D709" s="60"/>
      <c r="E709" s="60"/>
      <c r="F709" s="393"/>
      <c r="G709" s="394"/>
      <c r="H709" s="60"/>
      <c r="I709" s="395"/>
      <c r="J709" s="395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</row>
    <row r="710" ht="15.75" customHeight="1">
      <c r="A710" s="60"/>
      <c r="B710" s="60"/>
      <c r="C710" s="60"/>
      <c r="D710" s="60"/>
      <c r="E710" s="60"/>
      <c r="F710" s="393"/>
      <c r="G710" s="394"/>
      <c r="H710" s="60"/>
      <c r="I710" s="395"/>
      <c r="J710" s="395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</row>
    <row r="711" ht="15.75" customHeight="1">
      <c r="A711" s="60"/>
      <c r="B711" s="60"/>
      <c r="C711" s="60"/>
      <c r="D711" s="60"/>
      <c r="E711" s="60"/>
      <c r="F711" s="393"/>
      <c r="G711" s="394"/>
      <c r="H711" s="60"/>
      <c r="I711" s="395"/>
      <c r="J711" s="395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</row>
    <row r="712" ht="15.75" customHeight="1">
      <c r="A712" s="60"/>
      <c r="B712" s="60"/>
      <c r="C712" s="60"/>
      <c r="D712" s="60"/>
      <c r="E712" s="60"/>
      <c r="F712" s="393"/>
      <c r="G712" s="394"/>
      <c r="H712" s="60"/>
      <c r="I712" s="395"/>
      <c r="J712" s="395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</row>
    <row r="713" ht="15.75" customHeight="1">
      <c r="A713" s="60"/>
      <c r="B713" s="60"/>
      <c r="C713" s="60"/>
      <c r="D713" s="60"/>
      <c r="E713" s="60"/>
      <c r="F713" s="393"/>
      <c r="G713" s="394"/>
      <c r="H713" s="60"/>
      <c r="I713" s="395"/>
      <c r="J713" s="395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</row>
    <row r="714" ht="15.75" customHeight="1">
      <c r="A714" s="60"/>
      <c r="B714" s="60"/>
      <c r="C714" s="60"/>
      <c r="D714" s="60"/>
      <c r="E714" s="60"/>
      <c r="F714" s="393"/>
      <c r="G714" s="394"/>
      <c r="H714" s="60"/>
      <c r="I714" s="395"/>
      <c r="J714" s="395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</row>
    <row r="715" ht="15.75" customHeight="1">
      <c r="A715" s="60"/>
      <c r="B715" s="60"/>
      <c r="C715" s="60"/>
      <c r="D715" s="60"/>
      <c r="E715" s="60"/>
      <c r="F715" s="393"/>
      <c r="G715" s="394"/>
      <c r="H715" s="60"/>
      <c r="I715" s="395"/>
      <c r="J715" s="395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</row>
    <row r="716" ht="15.75" customHeight="1">
      <c r="A716" s="60"/>
      <c r="B716" s="60"/>
      <c r="C716" s="60"/>
      <c r="D716" s="60"/>
      <c r="E716" s="60"/>
      <c r="F716" s="393"/>
      <c r="G716" s="394"/>
      <c r="H716" s="60"/>
      <c r="I716" s="395"/>
      <c r="J716" s="395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</row>
    <row r="717" ht="15.75" customHeight="1">
      <c r="A717" s="60"/>
      <c r="B717" s="60"/>
      <c r="C717" s="60"/>
      <c r="D717" s="60"/>
      <c r="E717" s="60"/>
      <c r="F717" s="393"/>
      <c r="G717" s="394"/>
      <c r="H717" s="60"/>
      <c r="I717" s="395"/>
      <c r="J717" s="395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</row>
    <row r="718" ht="15.75" customHeight="1">
      <c r="A718" s="60"/>
      <c r="B718" s="60"/>
      <c r="C718" s="60"/>
      <c r="D718" s="60"/>
      <c r="E718" s="60"/>
      <c r="F718" s="393"/>
      <c r="G718" s="394"/>
      <c r="H718" s="60"/>
      <c r="I718" s="395"/>
      <c r="J718" s="395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</row>
    <row r="719" ht="15.75" customHeight="1">
      <c r="A719" s="60"/>
      <c r="B719" s="60"/>
      <c r="C719" s="60"/>
      <c r="D719" s="60"/>
      <c r="E719" s="60"/>
      <c r="F719" s="393"/>
      <c r="G719" s="394"/>
      <c r="H719" s="60"/>
      <c r="I719" s="395"/>
      <c r="J719" s="395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</row>
    <row r="720" ht="15.75" customHeight="1">
      <c r="A720" s="60"/>
      <c r="B720" s="60"/>
      <c r="C720" s="60"/>
      <c r="D720" s="60"/>
      <c r="E720" s="60"/>
      <c r="F720" s="393"/>
      <c r="G720" s="394"/>
      <c r="H720" s="60"/>
      <c r="I720" s="395"/>
      <c r="J720" s="395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</row>
    <row r="721" ht="15.75" customHeight="1">
      <c r="A721" s="60"/>
      <c r="B721" s="60"/>
      <c r="C721" s="60"/>
      <c r="D721" s="60"/>
      <c r="E721" s="60"/>
      <c r="F721" s="393"/>
      <c r="G721" s="394"/>
      <c r="H721" s="60"/>
      <c r="I721" s="395"/>
      <c r="J721" s="395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</row>
    <row r="722" ht="15.75" customHeight="1">
      <c r="A722" s="60"/>
      <c r="B722" s="60"/>
      <c r="C722" s="60"/>
      <c r="D722" s="60"/>
      <c r="E722" s="60"/>
      <c r="F722" s="393"/>
      <c r="G722" s="394"/>
      <c r="H722" s="60"/>
      <c r="I722" s="395"/>
      <c r="J722" s="395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</row>
    <row r="723" ht="15.75" customHeight="1">
      <c r="A723" s="60"/>
      <c r="B723" s="60"/>
      <c r="C723" s="60"/>
      <c r="D723" s="60"/>
      <c r="E723" s="60"/>
      <c r="F723" s="393"/>
      <c r="G723" s="394"/>
      <c r="H723" s="60"/>
      <c r="I723" s="395"/>
      <c r="J723" s="395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</row>
    <row r="724" ht="15.75" customHeight="1">
      <c r="A724" s="60"/>
      <c r="B724" s="60"/>
      <c r="C724" s="60"/>
      <c r="D724" s="60"/>
      <c r="E724" s="60"/>
      <c r="F724" s="393"/>
      <c r="G724" s="394"/>
      <c r="H724" s="60"/>
      <c r="I724" s="395"/>
      <c r="J724" s="395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</row>
    <row r="725" ht="15.75" customHeight="1">
      <c r="A725" s="60"/>
      <c r="B725" s="60"/>
      <c r="C725" s="60"/>
      <c r="D725" s="60"/>
      <c r="E725" s="60"/>
      <c r="F725" s="393"/>
      <c r="G725" s="394"/>
      <c r="H725" s="60"/>
      <c r="I725" s="395"/>
      <c r="J725" s="395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</row>
    <row r="726" ht="15.75" customHeight="1">
      <c r="A726" s="60"/>
      <c r="B726" s="60"/>
      <c r="C726" s="60"/>
      <c r="D726" s="60"/>
      <c r="E726" s="60"/>
      <c r="F726" s="393"/>
      <c r="G726" s="394"/>
      <c r="H726" s="60"/>
      <c r="I726" s="395"/>
      <c r="J726" s="395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</row>
    <row r="727" ht="15.75" customHeight="1">
      <c r="A727" s="60"/>
      <c r="B727" s="60"/>
      <c r="C727" s="60"/>
      <c r="D727" s="60"/>
      <c r="E727" s="60"/>
      <c r="F727" s="393"/>
      <c r="G727" s="394"/>
      <c r="H727" s="60"/>
      <c r="I727" s="395"/>
      <c r="J727" s="395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</row>
    <row r="728" ht="15.75" customHeight="1">
      <c r="A728" s="60"/>
      <c r="B728" s="60"/>
      <c r="C728" s="60"/>
      <c r="D728" s="60"/>
      <c r="E728" s="60"/>
      <c r="F728" s="393"/>
      <c r="G728" s="394"/>
      <c r="H728" s="60"/>
      <c r="I728" s="395"/>
      <c r="J728" s="395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</row>
    <row r="729" ht="15.75" customHeight="1">
      <c r="A729" s="60"/>
      <c r="B729" s="60"/>
      <c r="C729" s="60"/>
      <c r="D729" s="60"/>
      <c r="E729" s="60"/>
      <c r="F729" s="393"/>
      <c r="G729" s="394"/>
      <c r="H729" s="60"/>
      <c r="I729" s="395"/>
      <c r="J729" s="395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</row>
    <row r="730" ht="15.75" customHeight="1">
      <c r="A730" s="60"/>
      <c r="B730" s="60"/>
      <c r="C730" s="60"/>
      <c r="D730" s="60"/>
      <c r="E730" s="60"/>
      <c r="F730" s="393"/>
      <c r="G730" s="394"/>
      <c r="H730" s="60"/>
      <c r="I730" s="395"/>
      <c r="J730" s="395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</row>
    <row r="731" ht="15.75" customHeight="1">
      <c r="A731" s="60"/>
      <c r="B731" s="60"/>
      <c r="C731" s="60"/>
      <c r="D731" s="60"/>
      <c r="E731" s="60"/>
      <c r="F731" s="393"/>
      <c r="G731" s="394"/>
      <c r="H731" s="60"/>
      <c r="I731" s="395"/>
      <c r="J731" s="395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</row>
    <row r="732" ht="15.75" customHeight="1">
      <c r="A732" s="60"/>
      <c r="B732" s="60"/>
      <c r="C732" s="60"/>
      <c r="D732" s="60"/>
      <c r="E732" s="60"/>
      <c r="F732" s="393"/>
      <c r="G732" s="394"/>
      <c r="H732" s="60"/>
      <c r="I732" s="395"/>
      <c r="J732" s="395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</row>
    <row r="733" ht="15.75" customHeight="1">
      <c r="A733" s="60"/>
      <c r="B733" s="60"/>
      <c r="C733" s="60"/>
      <c r="D733" s="60"/>
      <c r="E733" s="60"/>
      <c r="F733" s="393"/>
      <c r="G733" s="394"/>
      <c r="H733" s="60"/>
      <c r="I733" s="395"/>
      <c r="J733" s="395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</row>
    <row r="734" ht="15.75" customHeight="1">
      <c r="A734" s="60"/>
      <c r="B734" s="60"/>
      <c r="C734" s="60"/>
      <c r="D734" s="60"/>
      <c r="E734" s="60"/>
      <c r="F734" s="393"/>
      <c r="G734" s="394"/>
      <c r="H734" s="60"/>
      <c r="I734" s="395"/>
      <c r="J734" s="395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</row>
    <row r="735" ht="15.75" customHeight="1">
      <c r="A735" s="60"/>
      <c r="B735" s="60"/>
      <c r="C735" s="60"/>
      <c r="D735" s="60"/>
      <c r="E735" s="60"/>
      <c r="F735" s="393"/>
      <c r="G735" s="394"/>
      <c r="H735" s="60"/>
      <c r="I735" s="395"/>
      <c r="J735" s="395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</row>
    <row r="736" ht="15.75" customHeight="1">
      <c r="A736" s="60"/>
      <c r="B736" s="60"/>
      <c r="C736" s="60"/>
      <c r="D736" s="60"/>
      <c r="E736" s="60"/>
      <c r="F736" s="393"/>
      <c r="G736" s="394"/>
      <c r="H736" s="60"/>
      <c r="I736" s="395"/>
      <c r="J736" s="395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</row>
    <row r="737" ht="15.75" customHeight="1">
      <c r="A737" s="60"/>
      <c r="B737" s="60"/>
      <c r="C737" s="60"/>
      <c r="D737" s="60"/>
      <c r="E737" s="60"/>
      <c r="F737" s="393"/>
      <c r="G737" s="394"/>
      <c r="H737" s="60"/>
      <c r="I737" s="395"/>
      <c r="J737" s="395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</row>
    <row r="738" ht="15.75" customHeight="1">
      <c r="A738" s="60"/>
      <c r="B738" s="60"/>
      <c r="C738" s="60"/>
      <c r="D738" s="60"/>
      <c r="E738" s="60"/>
      <c r="F738" s="393"/>
      <c r="G738" s="394"/>
      <c r="H738" s="60"/>
      <c r="I738" s="395"/>
      <c r="J738" s="395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</row>
    <row r="739" ht="15.75" customHeight="1">
      <c r="A739" s="60"/>
      <c r="B739" s="60"/>
      <c r="C739" s="60"/>
      <c r="D739" s="60"/>
      <c r="E739" s="60"/>
      <c r="F739" s="393"/>
      <c r="G739" s="394"/>
      <c r="H739" s="60"/>
      <c r="I739" s="395"/>
      <c r="J739" s="395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</row>
    <row r="740" ht="15.75" customHeight="1">
      <c r="A740" s="60"/>
      <c r="B740" s="60"/>
      <c r="C740" s="60"/>
      <c r="D740" s="60"/>
      <c r="E740" s="60"/>
      <c r="F740" s="393"/>
      <c r="G740" s="394"/>
      <c r="H740" s="60"/>
      <c r="I740" s="395"/>
      <c r="J740" s="395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</row>
    <row r="741" ht="15.75" customHeight="1">
      <c r="A741" s="60"/>
      <c r="B741" s="60"/>
      <c r="C741" s="60"/>
      <c r="D741" s="60"/>
      <c r="E741" s="60"/>
      <c r="F741" s="393"/>
      <c r="G741" s="394"/>
      <c r="H741" s="60"/>
      <c r="I741" s="395"/>
      <c r="J741" s="395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</row>
    <row r="742" ht="15.75" customHeight="1">
      <c r="A742" s="60"/>
      <c r="B742" s="60"/>
      <c r="C742" s="60"/>
      <c r="D742" s="60"/>
      <c r="E742" s="60"/>
      <c r="F742" s="393"/>
      <c r="G742" s="394"/>
      <c r="H742" s="60"/>
      <c r="I742" s="395"/>
      <c r="J742" s="395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</row>
    <row r="743" ht="15.75" customHeight="1">
      <c r="A743" s="60"/>
      <c r="B743" s="60"/>
      <c r="C743" s="60"/>
      <c r="D743" s="60"/>
      <c r="E743" s="60"/>
      <c r="F743" s="393"/>
      <c r="G743" s="394"/>
      <c r="H743" s="60"/>
      <c r="I743" s="395"/>
      <c r="J743" s="395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</row>
    <row r="744" ht="15.75" customHeight="1">
      <c r="A744" s="60"/>
      <c r="B744" s="60"/>
      <c r="C744" s="60"/>
      <c r="D744" s="60"/>
      <c r="E744" s="60"/>
      <c r="F744" s="393"/>
      <c r="G744" s="394"/>
      <c r="H744" s="60"/>
      <c r="I744" s="395"/>
      <c r="J744" s="395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</row>
    <row r="745" ht="15.75" customHeight="1">
      <c r="A745" s="60"/>
      <c r="B745" s="60"/>
      <c r="C745" s="60"/>
      <c r="D745" s="60"/>
      <c r="E745" s="60"/>
      <c r="F745" s="393"/>
      <c r="G745" s="394"/>
      <c r="H745" s="60"/>
      <c r="I745" s="395"/>
      <c r="J745" s="395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</row>
    <row r="746" ht="15.75" customHeight="1">
      <c r="A746" s="60"/>
      <c r="B746" s="60"/>
      <c r="C746" s="60"/>
      <c r="D746" s="60"/>
      <c r="E746" s="60"/>
      <c r="F746" s="393"/>
      <c r="G746" s="394"/>
      <c r="H746" s="60"/>
      <c r="I746" s="395"/>
      <c r="J746" s="395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</row>
    <row r="747" ht="15.75" customHeight="1">
      <c r="A747" s="60"/>
      <c r="B747" s="60"/>
      <c r="C747" s="60"/>
      <c r="D747" s="60"/>
      <c r="E747" s="60"/>
      <c r="F747" s="393"/>
      <c r="G747" s="394"/>
      <c r="H747" s="60"/>
      <c r="I747" s="395"/>
      <c r="J747" s="395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</row>
    <row r="748" ht="15.75" customHeight="1">
      <c r="A748" s="60"/>
      <c r="B748" s="60"/>
      <c r="C748" s="60"/>
      <c r="D748" s="60"/>
      <c r="E748" s="60"/>
      <c r="F748" s="393"/>
      <c r="G748" s="394"/>
      <c r="H748" s="60"/>
      <c r="I748" s="395"/>
      <c r="J748" s="395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</row>
    <row r="749" ht="15.75" customHeight="1">
      <c r="A749" s="60"/>
      <c r="B749" s="60"/>
      <c r="C749" s="60"/>
      <c r="D749" s="60"/>
      <c r="E749" s="60"/>
      <c r="F749" s="393"/>
      <c r="G749" s="394"/>
      <c r="H749" s="60"/>
      <c r="I749" s="395"/>
      <c r="J749" s="395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</row>
    <row r="750" ht="15.75" customHeight="1">
      <c r="A750" s="60"/>
      <c r="B750" s="60"/>
      <c r="C750" s="60"/>
      <c r="D750" s="60"/>
      <c r="E750" s="60"/>
      <c r="F750" s="393"/>
      <c r="G750" s="394"/>
      <c r="H750" s="60"/>
      <c r="I750" s="395"/>
      <c r="J750" s="395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</row>
    <row r="751" ht="15.75" customHeight="1">
      <c r="A751" s="60"/>
      <c r="B751" s="60"/>
      <c r="C751" s="60"/>
      <c r="D751" s="60"/>
      <c r="E751" s="60"/>
      <c r="F751" s="393"/>
      <c r="G751" s="394"/>
      <c r="H751" s="60"/>
      <c r="I751" s="395"/>
      <c r="J751" s="395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</row>
    <row r="752" ht="15.75" customHeight="1">
      <c r="A752" s="60"/>
      <c r="B752" s="60"/>
      <c r="C752" s="60"/>
      <c r="D752" s="60"/>
      <c r="E752" s="60"/>
      <c r="F752" s="393"/>
      <c r="G752" s="394"/>
      <c r="H752" s="60"/>
      <c r="I752" s="395"/>
      <c r="J752" s="395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</row>
    <row r="753" ht="15.75" customHeight="1">
      <c r="A753" s="60"/>
      <c r="B753" s="60"/>
      <c r="C753" s="60"/>
      <c r="D753" s="60"/>
      <c r="E753" s="60"/>
      <c r="F753" s="393"/>
      <c r="G753" s="394"/>
      <c r="H753" s="60"/>
      <c r="I753" s="395"/>
      <c r="J753" s="395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</row>
    <row r="754" ht="15.75" customHeight="1">
      <c r="A754" s="60"/>
      <c r="B754" s="60"/>
      <c r="C754" s="60"/>
      <c r="D754" s="60"/>
      <c r="E754" s="60"/>
      <c r="F754" s="393"/>
      <c r="G754" s="394"/>
      <c r="H754" s="60"/>
      <c r="I754" s="395"/>
      <c r="J754" s="395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</row>
    <row r="755" ht="15.75" customHeight="1">
      <c r="A755" s="60"/>
      <c r="B755" s="60"/>
      <c r="C755" s="60"/>
      <c r="D755" s="60"/>
      <c r="E755" s="60"/>
      <c r="F755" s="393"/>
      <c r="G755" s="394"/>
      <c r="H755" s="60"/>
      <c r="I755" s="395"/>
      <c r="J755" s="395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</row>
    <row r="756" ht="15.75" customHeight="1">
      <c r="A756" s="60"/>
      <c r="B756" s="60"/>
      <c r="C756" s="60"/>
      <c r="D756" s="60"/>
      <c r="E756" s="60"/>
      <c r="F756" s="393"/>
      <c r="G756" s="394"/>
      <c r="H756" s="60"/>
      <c r="I756" s="395"/>
      <c r="J756" s="395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</row>
    <row r="757" ht="15.75" customHeight="1">
      <c r="A757" s="60"/>
      <c r="B757" s="60"/>
      <c r="C757" s="60"/>
      <c r="D757" s="60"/>
      <c r="E757" s="60"/>
      <c r="F757" s="393"/>
      <c r="G757" s="394"/>
      <c r="H757" s="60"/>
      <c r="I757" s="395"/>
      <c r="J757" s="395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</row>
    <row r="758" ht="15.75" customHeight="1">
      <c r="A758" s="60"/>
      <c r="B758" s="60"/>
      <c r="C758" s="60"/>
      <c r="D758" s="60"/>
      <c r="E758" s="60"/>
      <c r="F758" s="393"/>
      <c r="G758" s="394"/>
      <c r="H758" s="60"/>
      <c r="I758" s="395"/>
      <c r="J758" s="395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</row>
    <row r="759" ht="15.75" customHeight="1">
      <c r="A759" s="60"/>
      <c r="B759" s="60"/>
      <c r="C759" s="60"/>
      <c r="D759" s="60"/>
      <c r="E759" s="60"/>
      <c r="F759" s="393"/>
      <c r="G759" s="394"/>
      <c r="H759" s="60"/>
      <c r="I759" s="395"/>
      <c r="J759" s="395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</row>
    <row r="760" ht="15.75" customHeight="1">
      <c r="A760" s="60"/>
      <c r="B760" s="60"/>
      <c r="C760" s="60"/>
      <c r="D760" s="60"/>
      <c r="E760" s="60"/>
      <c r="F760" s="393"/>
      <c r="G760" s="394"/>
      <c r="H760" s="60"/>
      <c r="I760" s="395"/>
      <c r="J760" s="395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</row>
    <row r="761" ht="15.75" customHeight="1">
      <c r="A761" s="60"/>
      <c r="B761" s="60"/>
      <c r="C761" s="60"/>
      <c r="D761" s="60"/>
      <c r="E761" s="60"/>
      <c r="F761" s="393"/>
      <c r="G761" s="394"/>
      <c r="H761" s="60"/>
      <c r="I761" s="395"/>
      <c r="J761" s="395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</row>
    <row r="762" ht="15.75" customHeight="1">
      <c r="A762" s="60"/>
      <c r="B762" s="60"/>
      <c r="C762" s="60"/>
      <c r="D762" s="60"/>
      <c r="E762" s="60"/>
      <c r="F762" s="393"/>
      <c r="G762" s="394"/>
      <c r="H762" s="60"/>
      <c r="I762" s="395"/>
      <c r="J762" s="395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</row>
    <row r="763" ht="15.75" customHeight="1">
      <c r="A763" s="60"/>
      <c r="B763" s="60"/>
      <c r="C763" s="60"/>
      <c r="D763" s="60"/>
      <c r="E763" s="60"/>
      <c r="F763" s="393"/>
      <c r="G763" s="394"/>
      <c r="H763" s="60"/>
      <c r="I763" s="395"/>
      <c r="J763" s="395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</row>
    <row r="764" ht="15.75" customHeight="1">
      <c r="A764" s="60"/>
      <c r="B764" s="60"/>
      <c r="C764" s="60"/>
      <c r="D764" s="60"/>
      <c r="E764" s="60"/>
      <c r="F764" s="393"/>
      <c r="G764" s="394"/>
      <c r="H764" s="60"/>
      <c r="I764" s="395"/>
      <c r="J764" s="395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</row>
    <row r="765" ht="15.75" customHeight="1">
      <c r="A765" s="60"/>
      <c r="B765" s="60"/>
      <c r="C765" s="60"/>
      <c r="D765" s="60"/>
      <c r="E765" s="60"/>
      <c r="F765" s="393"/>
      <c r="G765" s="394"/>
      <c r="H765" s="60"/>
      <c r="I765" s="395"/>
      <c r="J765" s="395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</row>
    <row r="766" ht="15.75" customHeight="1">
      <c r="A766" s="60"/>
      <c r="B766" s="60"/>
      <c r="C766" s="60"/>
      <c r="D766" s="60"/>
      <c r="E766" s="60"/>
      <c r="F766" s="393"/>
      <c r="G766" s="394"/>
      <c r="H766" s="60"/>
      <c r="I766" s="395"/>
      <c r="J766" s="395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</row>
    <row r="767" ht="15.75" customHeight="1">
      <c r="A767" s="60"/>
      <c r="B767" s="60"/>
      <c r="C767" s="60"/>
      <c r="D767" s="60"/>
      <c r="E767" s="60"/>
      <c r="F767" s="393"/>
      <c r="G767" s="394"/>
      <c r="H767" s="60"/>
      <c r="I767" s="395"/>
      <c r="J767" s="395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</row>
    <row r="768" ht="15.75" customHeight="1">
      <c r="A768" s="60"/>
      <c r="B768" s="60"/>
      <c r="C768" s="60"/>
      <c r="D768" s="60"/>
      <c r="E768" s="60"/>
      <c r="F768" s="393"/>
      <c r="G768" s="394"/>
      <c r="H768" s="60"/>
      <c r="I768" s="395"/>
      <c r="J768" s="395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</row>
    <row r="769" ht="15.75" customHeight="1">
      <c r="A769" s="60"/>
      <c r="B769" s="60"/>
      <c r="C769" s="60"/>
      <c r="D769" s="60"/>
      <c r="E769" s="60"/>
      <c r="F769" s="393"/>
      <c r="G769" s="394"/>
      <c r="H769" s="60"/>
      <c r="I769" s="395"/>
      <c r="J769" s="395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</row>
    <row r="770" ht="15.75" customHeight="1">
      <c r="A770" s="60"/>
      <c r="B770" s="60"/>
      <c r="C770" s="60"/>
      <c r="D770" s="60"/>
      <c r="E770" s="60"/>
      <c r="F770" s="393"/>
      <c r="G770" s="394"/>
      <c r="H770" s="60"/>
      <c r="I770" s="395"/>
      <c r="J770" s="395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</row>
    <row r="771" ht="15.75" customHeight="1">
      <c r="A771" s="60"/>
      <c r="B771" s="60"/>
      <c r="C771" s="60"/>
      <c r="D771" s="60"/>
      <c r="E771" s="60"/>
      <c r="F771" s="393"/>
      <c r="G771" s="394"/>
      <c r="H771" s="60"/>
      <c r="I771" s="395"/>
      <c r="J771" s="395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</row>
    <row r="772" ht="15.75" customHeight="1">
      <c r="A772" s="60"/>
      <c r="B772" s="60"/>
      <c r="C772" s="60"/>
      <c r="D772" s="60"/>
      <c r="E772" s="60"/>
      <c r="F772" s="393"/>
      <c r="G772" s="394"/>
      <c r="H772" s="60"/>
      <c r="I772" s="395"/>
      <c r="J772" s="395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</row>
    <row r="773" ht="15.75" customHeight="1">
      <c r="A773" s="60"/>
      <c r="B773" s="60"/>
      <c r="C773" s="60"/>
      <c r="D773" s="60"/>
      <c r="E773" s="60"/>
      <c r="F773" s="393"/>
      <c r="G773" s="394"/>
      <c r="H773" s="60"/>
      <c r="I773" s="395"/>
      <c r="J773" s="395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</row>
    <row r="774" ht="15.75" customHeight="1">
      <c r="A774" s="60"/>
      <c r="B774" s="60"/>
      <c r="C774" s="60"/>
      <c r="D774" s="60"/>
      <c r="E774" s="60"/>
      <c r="F774" s="393"/>
      <c r="G774" s="394"/>
      <c r="H774" s="60"/>
      <c r="I774" s="395"/>
      <c r="J774" s="395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</row>
    <row r="775" ht="15.75" customHeight="1">
      <c r="A775" s="60"/>
      <c r="B775" s="60"/>
      <c r="C775" s="60"/>
      <c r="D775" s="60"/>
      <c r="E775" s="60"/>
      <c r="F775" s="393"/>
      <c r="G775" s="394"/>
      <c r="H775" s="60"/>
      <c r="I775" s="395"/>
      <c r="J775" s="395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</row>
    <row r="776" ht="15.75" customHeight="1">
      <c r="A776" s="60"/>
      <c r="B776" s="60"/>
      <c r="C776" s="60"/>
      <c r="D776" s="60"/>
      <c r="E776" s="60"/>
      <c r="F776" s="393"/>
      <c r="G776" s="394"/>
      <c r="H776" s="60"/>
      <c r="I776" s="395"/>
      <c r="J776" s="395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</row>
    <row r="777" ht="15.75" customHeight="1">
      <c r="A777" s="60"/>
      <c r="B777" s="60"/>
      <c r="C777" s="60"/>
      <c r="D777" s="60"/>
      <c r="E777" s="60"/>
      <c r="F777" s="393"/>
      <c r="G777" s="394"/>
      <c r="H777" s="60"/>
      <c r="I777" s="395"/>
      <c r="J777" s="395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</row>
    <row r="778" ht="15.75" customHeight="1">
      <c r="A778" s="60"/>
      <c r="B778" s="60"/>
      <c r="C778" s="60"/>
      <c r="D778" s="60"/>
      <c r="E778" s="60"/>
      <c r="F778" s="393"/>
      <c r="G778" s="394"/>
      <c r="H778" s="60"/>
      <c r="I778" s="395"/>
      <c r="J778" s="395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</row>
    <row r="779" ht="15.75" customHeight="1">
      <c r="A779" s="60"/>
      <c r="B779" s="60"/>
      <c r="C779" s="60"/>
      <c r="D779" s="60"/>
      <c r="E779" s="60"/>
      <c r="F779" s="393"/>
      <c r="G779" s="394"/>
      <c r="H779" s="60"/>
      <c r="I779" s="395"/>
      <c r="J779" s="395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</row>
    <row r="780" ht="15.75" customHeight="1">
      <c r="A780" s="60"/>
      <c r="B780" s="60"/>
      <c r="C780" s="60"/>
      <c r="D780" s="60"/>
      <c r="E780" s="60"/>
      <c r="F780" s="393"/>
      <c r="G780" s="394"/>
      <c r="H780" s="60"/>
      <c r="I780" s="395"/>
      <c r="J780" s="395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</row>
    <row r="781" ht="15.75" customHeight="1">
      <c r="A781" s="60"/>
      <c r="B781" s="60"/>
      <c r="C781" s="60"/>
      <c r="D781" s="60"/>
      <c r="E781" s="60"/>
      <c r="F781" s="393"/>
      <c r="G781" s="394"/>
      <c r="H781" s="60"/>
      <c r="I781" s="395"/>
      <c r="J781" s="395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</row>
    <row r="782" ht="15.75" customHeight="1">
      <c r="A782" s="60"/>
      <c r="B782" s="60"/>
      <c r="C782" s="60"/>
      <c r="D782" s="60"/>
      <c r="E782" s="60"/>
      <c r="F782" s="393"/>
      <c r="G782" s="394"/>
      <c r="H782" s="60"/>
      <c r="I782" s="395"/>
      <c r="J782" s="395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</row>
    <row r="783" ht="15.75" customHeight="1">
      <c r="A783" s="60"/>
      <c r="B783" s="60"/>
      <c r="C783" s="60"/>
      <c r="D783" s="60"/>
      <c r="E783" s="60"/>
      <c r="F783" s="393"/>
      <c r="G783" s="394"/>
      <c r="H783" s="60"/>
      <c r="I783" s="395"/>
      <c r="J783" s="395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</row>
    <row r="784" ht="15.75" customHeight="1">
      <c r="A784" s="60"/>
      <c r="B784" s="60"/>
      <c r="C784" s="60"/>
      <c r="D784" s="60"/>
      <c r="E784" s="60"/>
      <c r="F784" s="393"/>
      <c r="G784" s="394"/>
      <c r="H784" s="60"/>
      <c r="I784" s="395"/>
      <c r="J784" s="395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</row>
    <row r="785" ht="15.75" customHeight="1">
      <c r="A785" s="60"/>
      <c r="B785" s="60"/>
      <c r="C785" s="60"/>
      <c r="D785" s="60"/>
      <c r="E785" s="60"/>
      <c r="F785" s="393"/>
      <c r="G785" s="394"/>
      <c r="H785" s="60"/>
      <c r="I785" s="395"/>
      <c r="J785" s="395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</row>
    <row r="786" ht="15.75" customHeight="1">
      <c r="A786" s="60"/>
      <c r="B786" s="60"/>
      <c r="C786" s="60"/>
      <c r="D786" s="60"/>
      <c r="E786" s="60"/>
      <c r="F786" s="393"/>
      <c r="G786" s="394"/>
      <c r="H786" s="60"/>
      <c r="I786" s="395"/>
      <c r="J786" s="395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</row>
    <row r="787" ht="15.75" customHeight="1">
      <c r="A787" s="60"/>
      <c r="B787" s="60"/>
      <c r="C787" s="60"/>
      <c r="D787" s="60"/>
      <c r="E787" s="60"/>
      <c r="F787" s="393"/>
      <c r="G787" s="394"/>
      <c r="H787" s="60"/>
      <c r="I787" s="395"/>
      <c r="J787" s="395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</row>
    <row r="788" ht="15.75" customHeight="1">
      <c r="A788" s="60"/>
      <c r="B788" s="60"/>
      <c r="C788" s="60"/>
      <c r="D788" s="60"/>
      <c r="E788" s="60"/>
      <c r="F788" s="393"/>
      <c r="G788" s="394"/>
      <c r="H788" s="60"/>
      <c r="I788" s="395"/>
      <c r="J788" s="395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</row>
    <row r="789" ht="15.75" customHeight="1">
      <c r="A789" s="60"/>
      <c r="B789" s="60"/>
      <c r="C789" s="60"/>
      <c r="D789" s="60"/>
      <c r="E789" s="60"/>
      <c r="F789" s="393"/>
      <c r="G789" s="394"/>
      <c r="H789" s="60"/>
      <c r="I789" s="395"/>
      <c r="J789" s="395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</row>
    <row r="790" ht="15.75" customHeight="1">
      <c r="A790" s="60"/>
      <c r="B790" s="60"/>
      <c r="C790" s="60"/>
      <c r="D790" s="60"/>
      <c r="E790" s="60"/>
      <c r="F790" s="393"/>
      <c r="G790" s="394"/>
      <c r="H790" s="60"/>
      <c r="I790" s="395"/>
      <c r="J790" s="395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</row>
    <row r="791" ht="15.75" customHeight="1">
      <c r="A791" s="60"/>
      <c r="B791" s="60"/>
      <c r="C791" s="60"/>
      <c r="D791" s="60"/>
      <c r="E791" s="60"/>
      <c r="F791" s="393"/>
      <c r="G791" s="394"/>
      <c r="H791" s="60"/>
      <c r="I791" s="395"/>
      <c r="J791" s="395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</row>
    <row r="792" ht="15.75" customHeight="1">
      <c r="A792" s="60"/>
      <c r="B792" s="60"/>
      <c r="C792" s="60"/>
      <c r="D792" s="60"/>
      <c r="E792" s="60"/>
      <c r="F792" s="393"/>
      <c r="G792" s="394"/>
      <c r="H792" s="60"/>
      <c r="I792" s="395"/>
      <c r="J792" s="395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</row>
    <row r="793" ht="15.75" customHeight="1">
      <c r="A793" s="60"/>
      <c r="B793" s="60"/>
      <c r="C793" s="60"/>
      <c r="D793" s="60"/>
      <c r="E793" s="60"/>
      <c r="F793" s="393"/>
      <c r="G793" s="394"/>
      <c r="H793" s="60"/>
      <c r="I793" s="395"/>
      <c r="J793" s="395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</row>
    <row r="794" ht="15.75" customHeight="1">
      <c r="A794" s="60"/>
      <c r="B794" s="60"/>
      <c r="C794" s="60"/>
      <c r="D794" s="60"/>
      <c r="E794" s="60"/>
      <c r="F794" s="393"/>
      <c r="G794" s="394"/>
      <c r="H794" s="60"/>
      <c r="I794" s="395"/>
      <c r="J794" s="395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</row>
    <row r="795" ht="15.75" customHeight="1">
      <c r="A795" s="60"/>
      <c r="B795" s="60"/>
      <c r="C795" s="60"/>
      <c r="D795" s="60"/>
      <c r="E795" s="60"/>
      <c r="F795" s="393"/>
      <c r="G795" s="394"/>
      <c r="H795" s="60"/>
      <c r="I795" s="395"/>
      <c r="J795" s="395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</row>
    <row r="796" ht="15.75" customHeight="1">
      <c r="A796" s="60"/>
      <c r="B796" s="60"/>
      <c r="C796" s="60"/>
      <c r="D796" s="60"/>
      <c r="E796" s="60"/>
      <c r="F796" s="393"/>
      <c r="G796" s="394"/>
      <c r="H796" s="60"/>
      <c r="I796" s="395"/>
      <c r="J796" s="395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</row>
    <row r="797" ht="15.75" customHeight="1">
      <c r="A797" s="60"/>
      <c r="B797" s="60"/>
      <c r="C797" s="60"/>
      <c r="D797" s="60"/>
      <c r="E797" s="60"/>
      <c r="F797" s="393"/>
      <c r="G797" s="394"/>
      <c r="H797" s="60"/>
      <c r="I797" s="395"/>
      <c r="J797" s="395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</row>
    <row r="798" ht="15.75" customHeight="1">
      <c r="A798" s="60"/>
      <c r="B798" s="60"/>
      <c r="C798" s="60"/>
      <c r="D798" s="60"/>
      <c r="E798" s="60"/>
      <c r="F798" s="393"/>
      <c r="G798" s="394"/>
      <c r="H798" s="60"/>
      <c r="I798" s="395"/>
      <c r="J798" s="395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</row>
    <row r="799" ht="15.75" customHeight="1">
      <c r="A799" s="60"/>
      <c r="B799" s="60"/>
      <c r="C799" s="60"/>
      <c r="D799" s="60"/>
      <c r="E799" s="60"/>
      <c r="F799" s="393"/>
      <c r="G799" s="394"/>
      <c r="H799" s="60"/>
      <c r="I799" s="395"/>
      <c r="J799" s="395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</row>
    <row r="800" ht="15.75" customHeight="1">
      <c r="A800" s="60"/>
      <c r="B800" s="60"/>
      <c r="C800" s="60"/>
      <c r="D800" s="60"/>
      <c r="E800" s="60"/>
      <c r="F800" s="393"/>
      <c r="G800" s="394"/>
      <c r="H800" s="60"/>
      <c r="I800" s="395"/>
      <c r="J800" s="395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</row>
    <row r="801" ht="15.75" customHeight="1">
      <c r="A801" s="60"/>
      <c r="B801" s="60"/>
      <c r="C801" s="60"/>
      <c r="D801" s="60"/>
      <c r="E801" s="60"/>
      <c r="F801" s="393"/>
      <c r="G801" s="394"/>
      <c r="H801" s="60"/>
      <c r="I801" s="395"/>
      <c r="J801" s="395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</row>
    <row r="802" ht="15.75" customHeight="1">
      <c r="A802" s="60"/>
      <c r="B802" s="60"/>
      <c r="C802" s="60"/>
      <c r="D802" s="60"/>
      <c r="E802" s="60"/>
      <c r="F802" s="393"/>
      <c r="G802" s="394"/>
      <c r="H802" s="60"/>
      <c r="I802" s="395"/>
      <c r="J802" s="395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</row>
    <row r="803" ht="15.75" customHeight="1">
      <c r="A803" s="60"/>
      <c r="B803" s="60"/>
      <c r="C803" s="60"/>
      <c r="D803" s="60"/>
      <c r="E803" s="60"/>
      <c r="F803" s="393"/>
      <c r="G803" s="394"/>
      <c r="H803" s="60"/>
      <c r="I803" s="395"/>
      <c r="J803" s="395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</row>
    <row r="804" ht="15.75" customHeight="1">
      <c r="A804" s="60"/>
      <c r="B804" s="60"/>
      <c r="C804" s="60"/>
      <c r="D804" s="60"/>
      <c r="E804" s="60"/>
      <c r="F804" s="393"/>
      <c r="G804" s="394"/>
      <c r="H804" s="60"/>
      <c r="I804" s="395"/>
      <c r="J804" s="395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</row>
    <row r="805" ht="15.75" customHeight="1">
      <c r="A805" s="60"/>
      <c r="B805" s="60"/>
      <c r="C805" s="60"/>
      <c r="D805" s="60"/>
      <c r="E805" s="60"/>
      <c r="F805" s="393"/>
      <c r="G805" s="394"/>
      <c r="H805" s="60"/>
      <c r="I805" s="395"/>
      <c r="J805" s="395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</row>
    <row r="806" ht="15.75" customHeight="1">
      <c r="A806" s="60"/>
      <c r="B806" s="60"/>
      <c r="C806" s="60"/>
      <c r="D806" s="60"/>
      <c r="E806" s="60"/>
      <c r="F806" s="393"/>
      <c r="G806" s="394"/>
      <c r="H806" s="60"/>
      <c r="I806" s="395"/>
      <c r="J806" s="395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</row>
    <row r="807" ht="15.75" customHeight="1">
      <c r="A807" s="60"/>
      <c r="B807" s="60"/>
      <c r="C807" s="60"/>
      <c r="D807" s="60"/>
      <c r="E807" s="60"/>
      <c r="F807" s="393"/>
      <c r="G807" s="394"/>
      <c r="H807" s="60"/>
      <c r="I807" s="395"/>
      <c r="J807" s="395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</row>
    <row r="808" ht="15.75" customHeight="1">
      <c r="A808" s="60"/>
      <c r="B808" s="60"/>
      <c r="C808" s="60"/>
      <c r="D808" s="60"/>
      <c r="E808" s="60"/>
      <c r="F808" s="393"/>
      <c r="G808" s="394"/>
      <c r="H808" s="60"/>
      <c r="I808" s="395"/>
      <c r="J808" s="395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</row>
    <row r="809" ht="15.75" customHeight="1">
      <c r="A809" s="60"/>
      <c r="B809" s="60"/>
      <c r="C809" s="60"/>
      <c r="D809" s="60"/>
      <c r="E809" s="60"/>
      <c r="F809" s="393"/>
      <c r="G809" s="394"/>
      <c r="H809" s="60"/>
      <c r="I809" s="395"/>
      <c r="J809" s="395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</row>
    <row r="810" ht="15.75" customHeight="1">
      <c r="A810" s="60"/>
      <c r="B810" s="60"/>
      <c r="C810" s="60"/>
      <c r="D810" s="60"/>
      <c r="E810" s="60"/>
      <c r="F810" s="393"/>
      <c r="G810" s="394"/>
      <c r="H810" s="60"/>
      <c r="I810" s="395"/>
      <c r="J810" s="395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</row>
    <row r="811" ht="15.75" customHeight="1">
      <c r="A811" s="60"/>
      <c r="B811" s="60"/>
      <c r="C811" s="60"/>
      <c r="D811" s="60"/>
      <c r="E811" s="60"/>
      <c r="F811" s="393"/>
      <c r="G811" s="394"/>
      <c r="H811" s="60"/>
      <c r="I811" s="395"/>
      <c r="J811" s="395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</row>
    <row r="812" ht="15.75" customHeight="1">
      <c r="A812" s="60"/>
      <c r="B812" s="60"/>
      <c r="C812" s="60"/>
      <c r="D812" s="60"/>
      <c r="E812" s="60"/>
      <c r="F812" s="393"/>
      <c r="G812" s="394"/>
      <c r="H812" s="60"/>
      <c r="I812" s="395"/>
      <c r="J812" s="395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</row>
    <row r="813" ht="15.75" customHeight="1">
      <c r="A813" s="60"/>
      <c r="B813" s="60"/>
      <c r="C813" s="60"/>
      <c r="D813" s="60"/>
      <c r="E813" s="60"/>
      <c r="F813" s="393"/>
      <c r="G813" s="394"/>
      <c r="H813" s="60"/>
      <c r="I813" s="395"/>
      <c r="J813" s="395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</row>
    <row r="814" ht="15.75" customHeight="1">
      <c r="A814" s="60"/>
      <c r="B814" s="60"/>
      <c r="C814" s="60"/>
      <c r="D814" s="60"/>
      <c r="E814" s="60"/>
      <c r="F814" s="393"/>
      <c r="G814" s="394"/>
      <c r="H814" s="60"/>
      <c r="I814" s="395"/>
      <c r="J814" s="395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</row>
    <row r="815" ht="15.75" customHeight="1">
      <c r="A815" s="60"/>
      <c r="B815" s="60"/>
      <c r="C815" s="60"/>
      <c r="D815" s="60"/>
      <c r="E815" s="60"/>
      <c r="F815" s="393"/>
      <c r="G815" s="394"/>
      <c r="H815" s="60"/>
      <c r="I815" s="395"/>
      <c r="J815" s="395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</row>
    <row r="816" ht="15.75" customHeight="1">
      <c r="A816" s="60"/>
      <c r="B816" s="60"/>
      <c r="C816" s="60"/>
      <c r="D816" s="60"/>
      <c r="E816" s="60"/>
      <c r="F816" s="393"/>
      <c r="G816" s="394"/>
      <c r="H816" s="60"/>
      <c r="I816" s="395"/>
      <c r="J816" s="395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</row>
    <row r="817" ht="15.75" customHeight="1">
      <c r="A817" s="60"/>
      <c r="B817" s="60"/>
      <c r="C817" s="60"/>
      <c r="D817" s="60"/>
      <c r="E817" s="60"/>
      <c r="F817" s="393"/>
      <c r="G817" s="394"/>
      <c r="H817" s="60"/>
      <c r="I817" s="395"/>
      <c r="J817" s="395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</row>
    <row r="818" ht="15.75" customHeight="1">
      <c r="A818" s="60"/>
      <c r="B818" s="60"/>
      <c r="C818" s="60"/>
      <c r="D818" s="60"/>
      <c r="E818" s="60"/>
      <c r="F818" s="393"/>
      <c r="G818" s="394"/>
      <c r="H818" s="60"/>
      <c r="I818" s="395"/>
      <c r="J818" s="395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</row>
    <row r="819" ht="15.75" customHeight="1">
      <c r="A819" s="60"/>
      <c r="B819" s="60"/>
      <c r="C819" s="60"/>
      <c r="D819" s="60"/>
      <c r="E819" s="60"/>
      <c r="F819" s="393"/>
      <c r="G819" s="394"/>
      <c r="H819" s="60"/>
      <c r="I819" s="395"/>
      <c r="J819" s="395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</row>
    <row r="820" ht="15.75" customHeight="1">
      <c r="A820" s="60"/>
      <c r="B820" s="60"/>
      <c r="C820" s="60"/>
      <c r="D820" s="60"/>
      <c r="E820" s="60"/>
      <c r="F820" s="393"/>
      <c r="G820" s="394"/>
      <c r="H820" s="60"/>
      <c r="I820" s="395"/>
      <c r="J820" s="395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</row>
    <row r="821" ht="15.75" customHeight="1">
      <c r="A821" s="60"/>
      <c r="B821" s="60"/>
      <c r="C821" s="60"/>
      <c r="D821" s="60"/>
      <c r="E821" s="60"/>
      <c r="F821" s="393"/>
      <c r="G821" s="394"/>
      <c r="H821" s="60"/>
      <c r="I821" s="395"/>
      <c r="J821" s="395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</row>
    <row r="822" ht="15.75" customHeight="1">
      <c r="A822" s="60"/>
      <c r="B822" s="60"/>
      <c r="C822" s="60"/>
      <c r="D822" s="60"/>
      <c r="E822" s="60"/>
      <c r="F822" s="393"/>
      <c r="G822" s="394"/>
      <c r="H822" s="60"/>
      <c r="I822" s="395"/>
      <c r="J822" s="395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</row>
    <row r="823" ht="15.75" customHeight="1">
      <c r="A823" s="60"/>
      <c r="B823" s="60"/>
      <c r="C823" s="60"/>
      <c r="D823" s="60"/>
      <c r="E823" s="60"/>
      <c r="F823" s="393"/>
      <c r="G823" s="394"/>
      <c r="H823" s="60"/>
      <c r="I823" s="395"/>
      <c r="J823" s="395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</row>
    <row r="824" ht="15.75" customHeight="1">
      <c r="A824" s="60"/>
      <c r="B824" s="60"/>
      <c r="C824" s="60"/>
      <c r="D824" s="60"/>
      <c r="E824" s="60"/>
      <c r="F824" s="393"/>
      <c r="G824" s="394"/>
      <c r="H824" s="60"/>
      <c r="I824" s="395"/>
      <c r="J824" s="395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</row>
    <row r="825" ht="15.75" customHeight="1">
      <c r="A825" s="60"/>
      <c r="B825" s="60"/>
      <c r="C825" s="60"/>
      <c r="D825" s="60"/>
      <c r="E825" s="60"/>
      <c r="F825" s="393"/>
      <c r="G825" s="394"/>
      <c r="H825" s="60"/>
      <c r="I825" s="395"/>
      <c r="J825" s="395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</row>
    <row r="826" ht="15.75" customHeight="1">
      <c r="A826" s="60"/>
      <c r="B826" s="60"/>
      <c r="C826" s="60"/>
      <c r="D826" s="60"/>
      <c r="E826" s="60"/>
      <c r="F826" s="393"/>
      <c r="G826" s="394"/>
      <c r="H826" s="60"/>
      <c r="I826" s="395"/>
      <c r="J826" s="395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</row>
    <row r="827" ht="15.75" customHeight="1">
      <c r="A827" s="60"/>
      <c r="B827" s="60"/>
      <c r="C827" s="60"/>
      <c r="D827" s="60"/>
      <c r="E827" s="60"/>
      <c r="F827" s="393"/>
      <c r="G827" s="394"/>
      <c r="H827" s="60"/>
      <c r="I827" s="395"/>
      <c r="J827" s="395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</row>
    <row r="828" ht="15.75" customHeight="1">
      <c r="A828" s="60"/>
      <c r="B828" s="60"/>
      <c r="C828" s="60"/>
      <c r="D828" s="60"/>
      <c r="E828" s="60"/>
      <c r="F828" s="393"/>
      <c r="G828" s="394"/>
      <c r="H828" s="60"/>
      <c r="I828" s="395"/>
      <c r="J828" s="395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</row>
    <row r="829" ht="15.75" customHeight="1">
      <c r="A829" s="60"/>
      <c r="B829" s="60"/>
      <c r="C829" s="60"/>
      <c r="D829" s="60"/>
      <c r="E829" s="60"/>
      <c r="F829" s="393"/>
      <c r="G829" s="394"/>
      <c r="H829" s="60"/>
      <c r="I829" s="395"/>
      <c r="J829" s="395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</row>
    <row r="830" ht="15.75" customHeight="1">
      <c r="A830" s="60"/>
      <c r="B830" s="60"/>
      <c r="C830" s="60"/>
      <c r="D830" s="60"/>
      <c r="E830" s="60"/>
      <c r="F830" s="393"/>
      <c r="G830" s="394"/>
      <c r="H830" s="60"/>
      <c r="I830" s="395"/>
      <c r="J830" s="395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</row>
    <row r="831" ht="15.75" customHeight="1">
      <c r="A831" s="60"/>
      <c r="B831" s="60"/>
      <c r="C831" s="60"/>
      <c r="D831" s="60"/>
      <c r="E831" s="60"/>
      <c r="F831" s="393"/>
      <c r="G831" s="394"/>
      <c r="H831" s="60"/>
      <c r="I831" s="395"/>
      <c r="J831" s="395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</row>
    <row r="832" ht="15.75" customHeight="1">
      <c r="A832" s="60"/>
      <c r="B832" s="60"/>
      <c r="C832" s="60"/>
      <c r="D832" s="60"/>
      <c r="E832" s="60"/>
      <c r="F832" s="393"/>
      <c r="G832" s="394"/>
      <c r="H832" s="60"/>
      <c r="I832" s="395"/>
      <c r="J832" s="395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</row>
    <row r="833" ht="15.75" customHeight="1">
      <c r="A833" s="60"/>
      <c r="B833" s="60"/>
      <c r="C833" s="60"/>
      <c r="D833" s="60"/>
      <c r="E833" s="60"/>
      <c r="F833" s="393"/>
      <c r="G833" s="394"/>
      <c r="H833" s="60"/>
      <c r="I833" s="395"/>
      <c r="J833" s="395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</row>
    <row r="834" ht="15.75" customHeight="1">
      <c r="A834" s="60"/>
      <c r="B834" s="60"/>
      <c r="C834" s="60"/>
      <c r="D834" s="60"/>
      <c r="E834" s="60"/>
      <c r="F834" s="393"/>
      <c r="G834" s="394"/>
      <c r="H834" s="60"/>
      <c r="I834" s="395"/>
      <c r="J834" s="395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</row>
    <row r="835" ht="15.75" customHeight="1">
      <c r="A835" s="60"/>
      <c r="B835" s="60"/>
      <c r="C835" s="60"/>
      <c r="D835" s="60"/>
      <c r="E835" s="60"/>
      <c r="F835" s="393"/>
      <c r="G835" s="394"/>
      <c r="H835" s="60"/>
      <c r="I835" s="395"/>
      <c r="J835" s="395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</row>
    <row r="836" ht="15.75" customHeight="1">
      <c r="A836" s="60"/>
      <c r="B836" s="60"/>
      <c r="C836" s="60"/>
      <c r="D836" s="60"/>
      <c r="E836" s="60"/>
      <c r="F836" s="393"/>
      <c r="G836" s="394"/>
      <c r="H836" s="60"/>
      <c r="I836" s="395"/>
      <c r="J836" s="395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</row>
    <row r="837" ht="15.75" customHeight="1">
      <c r="A837" s="60"/>
      <c r="B837" s="60"/>
      <c r="C837" s="60"/>
      <c r="D837" s="60"/>
      <c r="E837" s="60"/>
      <c r="F837" s="393"/>
      <c r="G837" s="394"/>
      <c r="H837" s="60"/>
      <c r="I837" s="395"/>
      <c r="J837" s="395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</row>
    <row r="838" ht="15.75" customHeight="1">
      <c r="A838" s="60"/>
      <c r="B838" s="60"/>
      <c r="C838" s="60"/>
      <c r="D838" s="60"/>
      <c r="E838" s="60"/>
      <c r="F838" s="393"/>
      <c r="G838" s="394"/>
      <c r="H838" s="60"/>
      <c r="I838" s="395"/>
      <c r="J838" s="395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</row>
    <row r="839" ht="15.75" customHeight="1">
      <c r="A839" s="60"/>
      <c r="B839" s="60"/>
      <c r="C839" s="60"/>
      <c r="D839" s="60"/>
      <c r="E839" s="60"/>
      <c r="F839" s="393"/>
      <c r="G839" s="394"/>
      <c r="H839" s="60"/>
      <c r="I839" s="395"/>
      <c r="J839" s="395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</row>
    <row r="840" ht="15.75" customHeight="1">
      <c r="A840" s="60"/>
      <c r="B840" s="60"/>
      <c r="C840" s="60"/>
      <c r="D840" s="60"/>
      <c r="E840" s="60"/>
      <c r="F840" s="393"/>
      <c r="G840" s="394"/>
      <c r="H840" s="60"/>
      <c r="I840" s="395"/>
      <c r="J840" s="395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</row>
    <row r="841" ht="15.75" customHeight="1">
      <c r="A841" s="60"/>
      <c r="B841" s="60"/>
      <c r="C841" s="60"/>
      <c r="D841" s="60"/>
      <c r="E841" s="60"/>
      <c r="F841" s="393"/>
      <c r="G841" s="394"/>
      <c r="H841" s="60"/>
      <c r="I841" s="395"/>
      <c r="J841" s="395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</row>
    <row r="842" ht="15.75" customHeight="1">
      <c r="A842" s="60"/>
      <c r="B842" s="60"/>
      <c r="C842" s="60"/>
      <c r="D842" s="60"/>
      <c r="E842" s="60"/>
      <c r="F842" s="393"/>
      <c r="G842" s="394"/>
      <c r="H842" s="60"/>
      <c r="I842" s="395"/>
      <c r="J842" s="395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</row>
    <row r="843" ht="15.75" customHeight="1">
      <c r="A843" s="60"/>
      <c r="B843" s="60"/>
      <c r="C843" s="60"/>
      <c r="D843" s="60"/>
      <c r="E843" s="60"/>
      <c r="F843" s="393"/>
      <c r="G843" s="394"/>
      <c r="H843" s="60"/>
      <c r="I843" s="395"/>
      <c r="J843" s="395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</row>
    <row r="844" ht="15.75" customHeight="1">
      <c r="A844" s="60"/>
      <c r="B844" s="60"/>
      <c r="C844" s="60"/>
      <c r="D844" s="60"/>
      <c r="E844" s="60"/>
      <c r="F844" s="393"/>
      <c r="G844" s="394"/>
      <c r="H844" s="60"/>
      <c r="I844" s="395"/>
      <c r="J844" s="395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</row>
    <row r="845" ht="15.75" customHeight="1">
      <c r="A845" s="60"/>
      <c r="B845" s="60"/>
      <c r="C845" s="60"/>
      <c r="D845" s="60"/>
      <c r="E845" s="60"/>
      <c r="F845" s="393"/>
      <c r="G845" s="394"/>
      <c r="H845" s="60"/>
      <c r="I845" s="395"/>
      <c r="J845" s="395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</row>
    <row r="846" ht="15.75" customHeight="1">
      <c r="A846" s="60"/>
      <c r="B846" s="60"/>
      <c r="C846" s="60"/>
      <c r="D846" s="60"/>
      <c r="E846" s="60"/>
      <c r="F846" s="393"/>
      <c r="G846" s="394"/>
      <c r="H846" s="60"/>
      <c r="I846" s="395"/>
      <c r="J846" s="395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</row>
    <row r="847" ht="15.75" customHeight="1">
      <c r="A847" s="60"/>
      <c r="B847" s="60"/>
      <c r="C847" s="60"/>
      <c r="D847" s="60"/>
      <c r="E847" s="60"/>
      <c r="F847" s="393"/>
      <c r="G847" s="394"/>
      <c r="H847" s="60"/>
      <c r="I847" s="395"/>
      <c r="J847" s="395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</row>
    <row r="848" ht="15.75" customHeight="1">
      <c r="A848" s="60"/>
      <c r="B848" s="60"/>
      <c r="C848" s="60"/>
      <c r="D848" s="60"/>
      <c r="E848" s="60"/>
      <c r="F848" s="393"/>
      <c r="G848" s="394"/>
      <c r="H848" s="60"/>
      <c r="I848" s="395"/>
      <c r="J848" s="395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</row>
    <row r="849" ht="15.75" customHeight="1">
      <c r="A849" s="60"/>
      <c r="B849" s="60"/>
      <c r="C849" s="60"/>
      <c r="D849" s="60"/>
      <c r="E849" s="60"/>
      <c r="F849" s="393"/>
      <c r="G849" s="394"/>
      <c r="H849" s="60"/>
      <c r="I849" s="395"/>
      <c r="J849" s="395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</row>
    <row r="850" ht="15.75" customHeight="1">
      <c r="A850" s="60"/>
      <c r="B850" s="60"/>
      <c r="C850" s="60"/>
      <c r="D850" s="60"/>
      <c r="E850" s="60"/>
      <c r="F850" s="393"/>
      <c r="G850" s="394"/>
      <c r="H850" s="60"/>
      <c r="I850" s="395"/>
      <c r="J850" s="395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</row>
    <row r="851" ht="15.75" customHeight="1">
      <c r="A851" s="60"/>
      <c r="B851" s="60"/>
      <c r="C851" s="60"/>
      <c r="D851" s="60"/>
      <c r="E851" s="60"/>
      <c r="F851" s="393"/>
      <c r="G851" s="394"/>
      <c r="H851" s="60"/>
      <c r="I851" s="395"/>
      <c r="J851" s="395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</row>
    <row r="852" ht="15.75" customHeight="1">
      <c r="A852" s="60"/>
      <c r="B852" s="60"/>
      <c r="C852" s="60"/>
      <c r="D852" s="60"/>
      <c r="E852" s="60"/>
      <c r="F852" s="393"/>
      <c r="G852" s="394"/>
      <c r="H852" s="60"/>
      <c r="I852" s="395"/>
      <c r="J852" s="395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</row>
    <row r="853" ht="15.75" customHeight="1">
      <c r="A853" s="60"/>
      <c r="B853" s="60"/>
      <c r="C853" s="60"/>
      <c r="D853" s="60"/>
      <c r="E853" s="60"/>
      <c r="F853" s="393"/>
      <c r="G853" s="394"/>
      <c r="H853" s="60"/>
      <c r="I853" s="395"/>
      <c r="J853" s="395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</row>
    <row r="854" ht="15.75" customHeight="1">
      <c r="A854" s="60"/>
      <c r="B854" s="60"/>
      <c r="C854" s="60"/>
      <c r="D854" s="60"/>
      <c r="E854" s="60"/>
      <c r="F854" s="393"/>
      <c r="G854" s="394"/>
      <c r="H854" s="60"/>
      <c r="I854" s="395"/>
      <c r="J854" s="395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</row>
    <row r="855" ht="15.75" customHeight="1">
      <c r="A855" s="60"/>
      <c r="B855" s="60"/>
      <c r="C855" s="60"/>
      <c r="D855" s="60"/>
      <c r="E855" s="60"/>
      <c r="F855" s="393"/>
      <c r="G855" s="394"/>
      <c r="H855" s="60"/>
      <c r="I855" s="395"/>
      <c r="J855" s="395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</row>
    <row r="856" ht="15.75" customHeight="1">
      <c r="A856" s="60"/>
      <c r="B856" s="60"/>
      <c r="C856" s="60"/>
      <c r="D856" s="60"/>
      <c r="E856" s="60"/>
      <c r="F856" s="393"/>
      <c r="G856" s="394"/>
      <c r="H856" s="60"/>
      <c r="I856" s="395"/>
      <c r="J856" s="395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</row>
    <row r="857" ht="15.75" customHeight="1">
      <c r="A857" s="60"/>
      <c r="B857" s="60"/>
      <c r="C857" s="60"/>
      <c r="D857" s="60"/>
      <c r="E857" s="60"/>
      <c r="F857" s="393"/>
      <c r="G857" s="394"/>
      <c r="H857" s="60"/>
      <c r="I857" s="395"/>
      <c r="J857" s="395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</row>
    <row r="858" ht="15.75" customHeight="1">
      <c r="A858" s="60"/>
      <c r="B858" s="60"/>
      <c r="C858" s="60"/>
      <c r="D858" s="60"/>
      <c r="E858" s="60"/>
      <c r="F858" s="393"/>
      <c r="G858" s="394"/>
      <c r="H858" s="60"/>
      <c r="I858" s="395"/>
      <c r="J858" s="395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</row>
    <row r="859" ht="15.75" customHeight="1">
      <c r="A859" s="60"/>
      <c r="B859" s="60"/>
      <c r="C859" s="60"/>
      <c r="D859" s="60"/>
      <c r="E859" s="60"/>
      <c r="F859" s="393"/>
      <c r="G859" s="394"/>
      <c r="H859" s="60"/>
      <c r="I859" s="395"/>
      <c r="J859" s="395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</row>
    <row r="860" ht="15.75" customHeight="1">
      <c r="A860" s="60"/>
      <c r="B860" s="60"/>
      <c r="C860" s="60"/>
      <c r="D860" s="60"/>
      <c r="E860" s="60"/>
      <c r="F860" s="393"/>
      <c r="G860" s="394"/>
      <c r="H860" s="60"/>
      <c r="I860" s="395"/>
      <c r="J860" s="395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</row>
    <row r="861" ht="15.75" customHeight="1">
      <c r="A861" s="60"/>
      <c r="B861" s="60"/>
      <c r="C861" s="60"/>
      <c r="D861" s="60"/>
      <c r="E861" s="60"/>
      <c r="F861" s="393"/>
      <c r="G861" s="394"/>
      <c r="H861" s="60"/>
      <c r="I861" s="395"/>
      <c r="J861" s="395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</row>
    <row r="862" ht="15.75" customHeight="1">
      <c r="A862" s="60"/>
      <c r="B862" s="60"/>
      <c r="C862" s="60"/>
      <c r="D862" s="60"/>
      <c r="E862" s="60"/>
      <c r="F862" s="393"/>
      <c r="G862" s="394"/>
      <c r="H862" s="60"/>
      <c r="I862" s="395"/>
      <c r="J862" s="395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</row>
    <row r="863" ht="15.75" customHeight="1">
      <c r="A863" s="60"/>
      <c r="B863" s="60"/>
      <c r="C863" s="60"/>
      <c r="D863" s="60"/>
      <c r="E863" s="60"/>
      <c r="F863" s="393"/>
      <c r="G863" s="394"/>
      <c r="H863" s="60"/>
      <c r="I863" s="395"/>
      <c r="J863" s="395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</row>
    <row r="864" ht="15.75" customHeight="1">
      <c r="A864" s="60"/>
      <c r="B864" s="60"/>
      <c r="C864" s="60"/>
      <c r="D864" s="60"/>
      <c r="E864" s="60"/>
      <c r="F864" s="393"/>
      <c r="G864" s="394"/>
      <c r="H864" s="60"/>
      <c r="I864" s="395"/>
      <c r="J864" s="395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</row>
    <row r="865" ht="15.75" customHeight="1">
      <c r="A865" s="60"/>
      <c r="B865" s="60"/>
      <c r="C865" s="60"/>
      <c r="D865" s="60"/>
      <c r="E865" s="60"/>
      <c r="F865" s="393"/>
      <c r="G865" s="394"/>
      <c r="H865" s="60"/>
      <c r="I865" s="395"/>
      <c r="J865" s="395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</row>
    <row r="866" ht="15.75" customHeight="1">
      <c r="A866" s="60"/>
      <c r="B866" s="60"/>
      <c r="C866" s="60"/>
      <c r="D866" s="60"/>
      <c r="E866" s="60"/>
      <c r="F866" s="393"/>
      <c r="G866" s="394"/>
      <c r="H866" s="60"/>
      <c r="I866" s="395"/>
      <c r="J866" s="395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</row>
    <row r="867" ht="15.75" customHeight="1">
      <c r="A867" s="60"/>
      <c r="B867" s="60"/>
      <c r="C867" s="60"/>
      <c r="D867" s="60"/>
      <c r="E867" s="60"/>
      <c r="F867" s="393"/>
      <c r="G867" s="394"/>
      <c r="H867" s="60"/>
      <c r="I867" s="395"/>
      <c r="J867" s="395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</row>
    <row r="868" ht="15.75" customHeight="1">
      <c r="A868" s="60"/>
      <c r="B868" s="60"/>
      <c r="C868" s="60"/>
      <c r="D868" s="60"/>
      <c r="E868" s="60"/>
      <c r="F868" s="393"/>
      <c r="G868" s="394"/>
      <c r="H868" s="60"/>
      <c r="I868" s="395"/>
      <c r="J868" s="395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</row>
    <row r="869" ht="15.75" customHeight="1">
      <c r="A869" s="60"/>
      <c r="B869" s="60"/>
      <c r="C869" s="60"/>
      <c r="D869" s="60"/>
      <c r="E869" s="60"/>
      <c r="F869" s="393"/>
      <c r="G869" s="394"/>
      <c r="H869" s="60"/>
      <c r="I869" s="395"/>
      <c r="J869" s="395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</row>
    <row r="870" ht="15.75" customHeight="1">
      <c r="A870" s="60"/>
      <c r="B870" s="60"/>
      <c r="C870" s="60"/>
      <c r="D870" s="60"/>
      <c r="E870" s="60"/>
      <c r="F870" s="393"/>
      <c r="G870" s="394"/>
      <c r="H870" s="60"/>
      <c r="I870" s="395"/>
      <c r="J870" s="395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</row>
    <row r="871" ht="15.75" customHeight="1">
      <c r="A871" s="60"/>
      <c r="B871" s="60"/>
      <c r="C871" s="60"/>
      <c r="D871" s="60"/>
      <c r="E871" s="60"/>
      <c r="F871" s="393"/>
      <c r="G871" s="394"/>
      <c r="H871" s="60"/>
      <c r="I871" s="395"/>
      <c r="J871" s="395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</row>
    <row r="872" ht="15.75" customHeight="1">
      <c r="A872" s="60"/>
      <c r="B872" s="60"/>
      <c r="C872" s="60"/>
      <c r="D872" s="60"/>
      <c r="E872" s="60"/>
      <c r="F872" s="393"/>
      <c r="G872" s="394"/>
      <c r="H872" s="60"/>
      <c r="I872" s="395"/>
      <c r="J872" s="395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</row>
    <row r="873" ht="15.75" customHeight="1">
      <c r="A873" s="60"/>
      <c r="B873" s="60"/>
      <c r="C873" s="60"/>
      <c r="D873" s="60"/>
      <c r="E873" s="60"/>
      <c r="F873" s="393"/>
      <c r="G873" s="394"/>
      <c r="H873" s="60"/>
      <c r="I873" s="395"/>
      <c r="J873" s="395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</row>
    <row r="874" ht="15.75" customHeight="1">
      <c r="A874" s="60"/>
      <c r="B874" s="60"/>
      <c r="C874" s="60"/>
      <c r="D874" s="60"/>
      <c r="E874" s="60"/>
      <c r="F874" s="393"/>
      <c r="G874" s="394"/>
      <c r="H874" s="60"/>
      <c r="I874" s="395"/>
      <c r="J874" s="395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</row>
    <row r="875" ht="15.75" customHeight="1">
      <c r="A875" s="60"/>
      <c r="B875" s="60"/>
      <c r="C875" s="60"/>
      <c r="D875" s="60"/>
      <c r="E875" s="60"/>
      <c r="F875" s="393"/>
      <c r="G875" s="394"/>
      <c r="H875" s="60"/>
      <c r="I875" s="395"/>
      <c r="J875" s="395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</row>
    <row r="876" ht="15.75" customHeight="1">
      <c r="A876" s="60"/>
      <c r="B876" s="60"/>
      <c r="C876" s="60"/>
      <c r="D876" s="60"/>
      <c r="E876" s="60"/>
      <c r="F876" s="393"/>
      <c r="G876" s="394"/>
      <c r="H876" s="60"/>
      <c r="I876" s="395"/>
      <c r="J876" s="395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</row>
    <row r="877" ht="15.75" customHeight="1">
      <c r="A877" s="60"/>
      <c r="B877" s="60"/>
      <c r="C877" s="60"/>
      <c r="D877" s="60"/>
      <c r="E877" s="60"/>
      <c r="F877" s="393"/>
      <c r="G877" s="394"/>
      <c r="H877" s="60"/>
      <c r="I877" s="395"/>
      <c r="J877" s="395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</row>
    <row r="878" ht="15.75" customHeight="1">
      <c r="A878" s="60"/>
      <c r="B878" s="60"/>
      <c r="C878" s="60"/>
      <c r="D878" s="60"/>
      <c r="E878" s="60"/>
      <c r="F878" s="393"/>
      <c r="G878" s="394"/>
      <c r="H878" s="60"/>
      <c r="I878" s="395"/>
      <c r="J878" s="395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</row>
    <row r="879" ht="15.75" customHeight="1">
      <c r="A879" s="60"/>
      <c r="B879" s="60"/>
      <c r="C879" s="60"/>
      <c r="D879" s="60"/>
      <c r="E879" s="60"/>
      <c r="F879" s="393"/>
      <c r="G879" s="394"/>
      <c r="H879" s="60"/>
      <c r="I879" s="395"/>
      <c r="J879" s="395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</row>
    <row r="880" ht="15.75" customHeight="1">
      <c r="A880" s="60"/>
      <c r="B880" s="60"/>
      <c r="C880" s="60"/>
      <c r="D880" s="60"/>
      <c r="E880" s="60"/>
      <c r="F880" s="393"/>
      <c r="G880" s="394"/>
      <c r="H880" s="60"/>
      <c r="I880" s="395"/>
      <c r="J880" s="395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</row>
    <row r="881" ht="15.75" customHeight="1">
      <c r="A881" s="60"/>
      <c r="B881" s="60"/>
      <c r="C881" s="60"/>
      <c r="D881" s="60"/>
      <c r="E881" s="60"/>
      <c r="F881" s="393"/>
      <c r="G881" s="394"/>
      <c r="H881" s="60"/>
      <c r="I881" s="395"/>
      <c r="J881" s="395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</row>
    <row r="882" ht="15.75" customHeight="1">
      <c r="A882" s="60"/>
      <c r="B882" s="60"/>
      <c r="C882" s="60"/>
      <c r="D882" s="60"/>
      <c r="E882" s="60"/>
      <c r="F882" s="393"/>
      <c r="G882" s="394"/>
      <c r="H882" s="60"/>
      <c r="I882" s="395"/>
      <c r="J882" s="395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</row>
    <row r="883" ht="15.75" customHeight="1">
      <c r="A883" s="60"/>
      <c r="B883" s="60"/>
      <c r="C883" s="60"/>
      <c r="D883" s="60"/>
      <c r="E883" s="60"/>
      <c r="F883" s="393"/>
      <c r="G883" s="394"/>
      <c r="H883" s="60"/>
      <c r="I883" s="395"/>
      <c r="J883" s="395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</row>
    <row r="884" ht="15.75" customHeight="1">
      <c r="A884" s="60"/>
      <c r="B884" s="60"/>
      <c r="C884" s="60"/>
      <c r="D884" s="60"/>
      <c r="E884" s="60"/>
      <c r="F884" s="393"/>
      <c r="G884" s="394"/>
      <c r="H884" s="60"/>
      <c r="I884" s="395"/>
      <c r="J884" s="395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</row>
    <row r="885" ht="15.75" customHeight="1">
      <c r="A885" s="60"/>
      <c r="B885" s="60"/>
      <c r="C885" s="60"/>
      <c r="D885" s="60"/>
      <c r="E885" s="60"/>
      <c r="F885" s="393"/>
      <c r="G885" s="394"/>
      <c r="H885" s="60"/>
      <c r="I885" s="395"/>
      <c r="J885" s="395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</row>
    <row r="886" ht="15.75" customHeight="1">
      <c r="A886" s="60"/>
      <c r="B886" s="60"/>
      <c r="C886" s="60"/>
      <c r="D886" s="60"/>
      <c r="E886" s="60"/>
      <c r="F886" s="393"/>
      <c r="G886" s="394"/>
      <c r="H886" s="60"/>
      <c r="I886" s="395"/>
      <c r="J886" s="395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</row>
    <row r="887" ht="15.75" customHeight="1">
      <c r="A887" s="60"/>
      <c r="B887" s="60"/>
      <c r="C887" s="60"/>
      <c r="D887" s="60"/>
      <c r="E887" s="60"/>
      <c r="F887" s="393"/>
      <c r="G887" s="394"/>
      <c r="H887" s="60"/>
      <c r="I887" s="395"/>
      <c r="J887" s="395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</row>
    <row r="888" ht="15.75" customHeight="1">
      <c r="A888" s="60"/>
      <c r="B888" s="60"/>
      <c r="C888" s="60"/>
      <c r="D888" s="60"/>
      <c r="E888" s="60"/>
      <c r="F888" s="393"/>
      <c r="G888" s="394"/>
      <c r="H888" s="60"/>
      <c r="I888" s="395"/>
      <c r="J888" s="395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</row>
    <row r="889" ht="15.75" customHeight="1">
      <c r="A889" s="60"/>
      <c r="B889" s="60"/>
      <c r="C889" s="60"/>
      <c r="D889" s="60"/>
      <c r="E889" s="60"/>
      <c r="F889" s="393"/>
      <c r="G889" s="394"/>
      <c r="H889" s="60"/>
      <c r="I889" s="395"/>
      <c r="J889" s="395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</row>
    <row r="890" ht="15.75" customHeight="1">
      <c r="A890" s="60"/>
      <c r="B890" s="60"/>
      <c r="C890" s="60"/>
      <c r="D890" s="60"/>
      <c r="E890" s="60"/>
      <c r="F890" s="393"/>
      <c r="G890" s="394"/>
      <c r="H890" s="60"/>
      <c r="I890" s="395"/>
      <c r="J890" s="395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</row>
    <row r="891" ht="15.75" customHeight="1">
      <c r="A891" s="60"/>
      <c r="B891" s="60"/>
      <c r="C891" s="60"/>
      <c r="D891" s="60"/>
      <c r="E891" s="60"/>
      <c r="F891" s="393"/>
      <c r="G891" s="394"/>
      <c r="H891" s="60"/>
      <c r="I891" s="395"/>
      <c r="J891" s="395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</row>
    <row r="892" ht="15.75" customHeight="1">
      <c r="A892" s="60"/>
      <c r="B892" s="60"/>
      <c r="C892" s="60"/>
      <c r="D892" s="60"/>
      <c r="E892" s="60"/>
      <c r="F892" s="393"/>
      <c r="G892" s="394"/>
      <c r="H892" s="60"/>
      <c r="I892" s="395"/>
      <c r="J892" s="395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</row>
    <row r="893" ht="15.75" customHeight="1">
      <c r="A893" s="60"/>
      <c r="B893" s="60"/>
      <c r="C893" s="60"/>
      <c r="D893" s="60"/>
      <c r="E893" s="60"/>
      <c r="F893" s="393"/>
      <c r="G893" s="394"/>
      <c r="H893" s="60"/>
      <c r="I893" s="395"/>
      <c r="J893" s="395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</row>
    <row r="894" ht="15.75" customHeight="1">
      <c r="A894" s="60"/>
      <c r="B894" s="60"/>
      <c r="C894" s="60"/>
      <c r="D894" s="60"/>
      <c r="E894" s="60"/>
      <c r="F894" s="393"/>
      <c r="G894" s="394"/>
      <c r="H894" s="60"/>
      <c r="I894" s="395"/>
      <c r="J894" s="395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</row>
    <row r="895" ht="15.75" customHeight="1">
      <c r="A895" s="60"/>
      <c r="B895" s="60"/>
      <c r="C895" s="60"/>
      <c r="D895" s="60"/>
      <c r="E895" s="60"/>
      <c r="F895" s="393"/>
      <c r="G895" s="394"/>
      <c r="H895" s="60"/>
      <c r="I895" s="395"/>
      <c r="J895" s="395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</row>
    <row r="896" ht="15.75" customHeight="1">
      <c r="A896" s="60"/>
      <c r="B896" s="60"/>
      <c r="C896" s="60"/>
      <c r="D896" s="60"/>
      <c r="E896" s="60"/>
      <c r="F896" s="393"/>
      <c r="G896" s="394"/>
      <c r="H896" s="60"/>
      <c r="I896" s="395"/>
      <c r="J896" s="395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</row>
    <row r="897" ht="15.75" customHeight="1">
      <c r="A897" s="60"/>
      <c r="B897" s="60"/>
      <c r="C897" s="60"/>
      <c r="D897" s="60"/>
      <c r="E897" s="60"/>
      <c r="F897" s="393"/>
      <c r="G897" s="394"/>
      <c r="H897" s="60"/>
      <c r="I897" s="395"/>
      <c r="J897" s="395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</row>
    <row r="898" ht="15.75" customHeight="1">
      <c r="A898" s="60"/>
      <c r="B898" s="60"/>
      <c r="C898" s="60"/>
      <c r="D898" s="60"/>
      <c r="E898" s="60"/>
      <c r="F898" s="393"/>
      <c r="G898" s="394"/>
      <c r="H898" s="60"/>
      <c r="I898" s="395"/>
      <c r="J898" s="395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</row>
    <row r="899" ht="15.75" customHeight="1">
      <c r="A899" s="60"/>
      <c r="B899" s="60"/>
      <c r="C899" s="60"/>
      <c r="D899" s="60"/>
      <c r="E899" s="60"/>
      <c r="F899" s="393"/>
      <c r="G899" s="394"/>
      <c r="H899" s="60"/>
      <c r="I899" s="395"/>
      <c r="J899" s="395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</row>
    <row r="900" ht="15.75" customHeight="1">
      <c r="A900" s="60"/>
      <c r="B900" s="60"/>
      <c r="C900" s="60"/>
      <c r="D900" s="60"/>
      <c r="E900" s="60"/>
      <c r="F900" s="393"/>
      <c r="G900" s="394"/>
      <c r="H900" s="60"/>
      <c r="I900" s="395"/>
      <c r="J900" s="395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</row>
    <row r="901" ht="15.75" customHeight="1">
      <c r="A901" s="60"/>
      <c r="B901" s="60"/>
      <c r="C901" s="60"/>
      <c r="D901" s="60"/>
      <c r="E901" s="60"/>
      <c r="F901" s="393"/>
      <c r="G901" s="394"/>
      <c r="H901" s="60"/>
      <c r="I901" s="395"/>
      <c r="J901" s="395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</row>
    <row r="902" ht="15.75" customHeight="1">
      <c r="A902" s="60"/>
      <c r="B902" s="60"/>
      <c r="C902" s="60"/>
      <c r="D902" s="60"/>
      <c r="E902" s="60"/>
      <c r="F902" s="393"/>
      <c r="G902" s="394"/>
      <c r="H902" s="60"/>
      <c r="I902" s="395"/>
      <c r="J902" s="395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</row>
    <row r="903" ht="15.75" customHeight="1">
      <c r="A903" s="60"/>
      <c r="B903" s="60"/>
      <c r="C903" s="60"/>
      <c r="D903" s="60"/>
      <c r="E903" s="60"/>
      <c r="F903" s="393"/>
      <c r="G903" s="394"/>
      <c r="H903" s="60"/>
      <c r="I903" s="395"/>
      <c r="J903" s="395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</row>
    <row r="904" ht="15.75" customHeight="1">
      <c r="A904" s="60"/>
      <c r="B904" s="60"/>
      <c r="C904" s="60"/>
      <c r="D904" s="60"/>
      <c r="E904" s="60"/>
      <c r="F904" s="393"/>
      <c r="G904" s="394"/>
      <c r="H904" s="60"/>
      <c r="I904" s="395"/>
      <c r="J904" s="395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</row>
    <row r="905" ht="15.75" customHeight="1">
      <c r="A905" s="60"/>
      <c r="B905" s="60"/>
      <c r="C905" s="60"/>
      <c r="D905" s="60"/>
      <c r="E905" s="60"/>
      <c r="F905" s="393"/>
      <c r="G905" s="394"/>
      <c r="H905" s="60"/>
      <c r="I905" s="395"/>
      <c r="J905" s="395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</row>
    <row r="906" ht="15.75" customHeight="1">
      <c r="A906" s="60"/>
      <c r="B906" s="60"/>
      <c r="C906" s="60"/>
      <c r="D906" s="60"/>
      <c r="E906" s="60"/>
      <c r="F906" s="393"/>
      <c r="G906" s="394"/>
      <c r="H906" s="60"/>
      <c r="I906" s="395"/>
      <c r="J906" s="395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</row>
    <row r="907" ht="15.75" customHeight="1">
      <c r="A907" s="60"/>
      <c r="B907" s="60"/>
      <c r="C907" s="60"/>
      <c r="D907" s="60"/>
      <c r="E907" s="60"/>
      <c r="F907" s="393"/>
      <c r="G907" s="394"/>
      <c r="H907" s="60"/>
      <c r="I907" s="395"/>
      <c r="J907" s="395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</row>
    <row r="908" ht="15.75" customHeight="1">
      <c r="A908" s="60"/>
      <c r="B908" s="60"/>
      <c r="C908" s="60"/>
      <c r="D908" s="60"/>
      <c r="E908" s="60"/>
      <c r="F908" s="393"/>
      <c r="G908" s="394"/>
      <c r="H908" s="60"/>
      <c r="I908" s="395"/>
      <c r="J908" s="395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</row>
    <row r="909" ht="15.75" customHeight="1">
      <c r="A909" s="60"/>
      <c r="B909" s="60"/>
      <c r="C909" s="60"/>
      <c r="D909" s="60"/>
      <c r="E909" s="60"/>
      <c r="F909" s="393"/>
      <c r="G909" s="394"/>
      <c r="H909" s="60"/>
      <c r="I909" s="395"/>
      <c r="J909" s="395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</row>
    <row r="910" ht="15.75" customHeight="1">
      <c r="A910" s="60"/>
      <c r="B910" s="60"/>
      <c r="C910" s="60"/>
      <c r="D910" s="60"/>
      <c r="E910" s="60"/>
      <c r="F910" s="393"/>
      <c r="G910" s="394"/>
      <c r="H910" s="60"/>
      <c r="I910" s="395"/>
      <c r="J910" s="395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</row>
    <row r="911" ht="15.75" customHeight="1">
      <c r="A911" s="60"/>
      <c r="B911" s="60"/>
      <c r="C911" s="60"/>
      <c r="D911" s="60"/>
      <c r="E911" s="60"/>
      <c r="F911" s="393"/>
      <c r="G911" s="394"/>
      <c r="H911" s="60"/>
      <c r="I911" s="395"/>
      <c r="J911" s="395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</row>
    <row r="912" ht="15.75" customHeight="1">
      <c r="A912" s="60"/>
      <c r="B912" s="60"/>
      <c r="C912" s="60"/>
      <c r="D912" s="60"/>
      <c r="E912" s="60"/>
      <c r="F912" s="393"/>
      <c r="G912" s="394"/>
      <c r="H912" s="60"/>
      <c r="I912" s="395"/>
      <c r="J912" s="395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</row>
    <row r="913" ht="15.75" customHeight="1">
      <c r="A913" s="60"/>
      <c r="B913" s="60"/>
      <c r="C913" s="60"/>
      <c r="D913" s="60"/>
      <c r="E913" s="60"/>
      <c r="F913" s="393"/>
      <c r="G913" s="394"/>
      <c r="H913" s="60"/>
      <c r="I913" s="395"/>
      <c r="J913" s="395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</row>
    <row r="914" ht="15.75" customHeight="1">
      <c r="A914" s="60"/>
      <c r="B914" s="60"/>
      <c r="C914" s="60"/>
      <c r="D914" s="60"/>
      <c r="E914" s="60"/>
      <c r="F914" s="393"/>
      <c r="G914" s="394"/>
      <c r="H914" s="60"/>
      <c r="I914" s="395"/>
      <c r="J914" s="395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</row>
    <row r="915" ht="15.75" customHeight="1">
      <c r="A915" s="60"/>
      <c r="B915" s="60"/>
      <c r="C915" s="60"/>
      <c r="D915" s="60"/>
      <c r="E915" s="60"/>
      <c r="F915" s="393"/>
      <c r="G915" s="394"/>
      <c r="H915" s="60"/>
      <c r="I915" s="395"/>
      <c r="J915" s="395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</row>
    <row r="916" ht="15.75" customHeight="1">
      <c r="A916" s="60"/>
      <c r="B916" s="60"/>
      <c r="C916" s="60"/>
      <c r="D916" s="60"/>
      <c r="E916" s="60"/>
      <c r="F916" s="393"/>
      <c r="G916" s="394"/>
      <c r="H916" s="60"/>
      <c r="I916" s="395"/>
      <c r="J916" s="395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</row>
    <row r="917" ht="15.75" customHeight="1">
      <c r="A917" s="60"/>
      <c r="B917" s="60"/>
      <c r="C917" s="60"/>
      <c r="D917" s="60"/>
      <c r="E917" s="60"/>
      <c r="F917" s="393"/>
      <c r="G917" s="394"/>
      <c r="H917" s="60"/>
      <c r="I917" s="395"/>
      <c r="J917" s="395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</row>
    <row r="918" ht="15.75" customHeight="1">
      <c r="A918" s="60"/>
      <c r="B918" s="60"/>
      <c r="C918" s="60"/>
      <c r="D918" s="60"/>
      <c r="E918" s="60"/>
      <c r="F918" s="393"/>
      <c r="G918" s="394"/>
      <c r="H918" s="60"/>
      <c r="I918" s="395"/>
      <c r="J918" s="395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</row>
    <row r="919" ht="15.75" customHeight="1">
      <c r="A919" s="60"/>
      <c r="B919" s="60"/>
      <c r="C919" s="60"/>
      <c r="D919" s="60"/>
      <c r="E919" s="60"/>
      <c r="F919" s="393"/>
      <c r="G919" s="394"/>
      <c r="H919" s="60"/>
      <c r="I919" s="395"/>
      <c r="J919" s="395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</row>
    <row r="920" ht="15.75" customHeight="1">
      <c r="A920" s="60"/>
      <c r="B920" s="60"/>
      <c r="C920" s="60"/>
      <c r="D920" s="60"/>
      <c r="E920" s="60"/>
      <c r="F920" s="393"/>
      <c r="G920" s="394"/>
      <c r="H920" s="60"/>
      <c r="I920" s="395"/>
      <c r="J920" s="395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</row>
    <row r="921" ht="15.75" customHeight="1">
      <c r="A921" s="60"/>
      <c r="B921" s="60"/>
      <c r="C921" s="60"/>
      <c r="D921" s="60"/>
      <c r="E921" s="60"/>
      <c r="F921" s="393"/>
      <c r="G921" s="394"/>
      <c r="H921" s="60"/>
      <c r="I921" s="395"/>
      <c r="J921" s="395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</row>
    <row r="922" ht="15.75" customHeight="1">
      <c r="A922" s="60"/>
      <c r="B922" s="60"/>
      <c r="C922" s="60"/>
      <c r="D922" s="60"/>
      <c r="E922" s="60"/>
      <c r="F922" s="393"/>
      <c r="G922" s="394"/>
      <c r="H922" s="60"/>
      <c r="I922" s="395"/>
      <c r="J922" s="395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</row>
    <row r="923" ht="15.75" customHeight="1">
      <c r="A923" s="60"/>
      <c r="B923" s="60"/>
      <c r="C923" s="60"/>
      <c r="D923" s="60"/>
      <c r="E923" s="60"/>
      <c r="F923" s="393"/>
      <c r="G923" s="394"/>
      <c r="H923" s="60"/>
      <c r="I923" s="395"/>
      <c r="J923" s="395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</row>
    <row r="924" ht="15.75" customHeight="1">
      <c r="A924" s="60"/>
      <c r="B924" s="60"/>
      <c r="C924" s="60"/>
      <c r="D924" s="60"/>
      <c r="E924" s="60"/>
      <c r="F924" s="393"/>
      <c r="G924" s="394"/>
      <c r="H924" s="60"/>
      <c r="I924" s="395"/>
      <c r="J924" s="395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</row>
    <row r="925" ht="15.75" customHeight="1">
      <c r="A925" s="60"/>
      <c r="B925" s="60"/>
      <c r="C925" s="60"/>
      <c r="D925" s="60"/>
      <c r="E925" s="60"/>
      <c r="F925" s="393"/>
      <c r="G925" s="394"/>
      <c r="H925" s="60"/>
      <c r="I925" s="395"/>
      <c r="J925" s="395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</row>
    <row r="926" ht="15.75" customHeight="1">
      <c r="A926" s="60"/>
      <c r="B926" s="60"/>
      <c r="C926" s="60"/>
      <c r="D926" s="60"/>
      <c r="E926" s="60"/>
      <c r="F926" s="393"/>
      <c r="G926" s="394"/>
      <c r="H926" s="60"/>
      <c r="I926" s="395"/>
      <c r="J926" s="395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</row>
    <row r="927" ht="15.75" customHeight="1">
      <c r="A927" s="60"/>
      <c r="B927" s="60"/>
      <c r="C927" s="60"/>
      <c r="D927" s="60"/>
      <c r="E927" s="60"/>
      <c r="F927" s="393"/>
      <c r="G927" s="394"/>
      <c r="H927" s="60"/>
      <c r="I927" s="395"/>
      <c r="J927" s="395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</row>
    <row r="928" ht="15.75" customHeight="1">
      <c r="A928" s="60"/>
      <c r="B928" s="60"/>
      <c r="C928" s="60"/>
      <c r="D928" s="60"/>
      <c r="E928" s="60"/>
      <c r="F928" s="393"/>
      <c r="G928" s="394"/>
      <c r="H928" s="60"/>
      <c r="I928" s="395"/>
      <c r="J928" s="395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</row>
    <row r="929" ht="15.75" customHeight="1">
      <c r="A929" s="60"/>
      <c r="B929" s="60"/>
      <c r="C929" s="60"/>
      <c r="D929" s="60"/>
      <c r="E929" s="60"/>
      <c r="F929" s="393"/>
      <c r="G929" s="394"/>
      <c r="H929" s="60"/>
      <c r="I929" s="395"/>
      <c r="J929" s="395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</row>
    <row r="930" ht="15.75" customHeight="1">
      <c r="A930" s="60"/>
      <c r="B930" s="60"/>
      <c r="C930" s="60"/>
      <c r="D930" s="60"/>
      <c r="E930" s="60"/>
      <c r="F930" s="393"/>
      <c r="G930" s="394"/>
      <c r="H930" s="60"/>
      <c r="I930" s="395"/>
      <c r="J930" s="395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</row>
    <row r="931" ht="15.75" customHeight="1">
      <c r="A931" s="60"/>
      <c r="B931" s="60"/>
      <c r="C931" s="60"/>
      <c r="D931" s="60"/>
      <c r="E931" s="60"/>
      <c r="F931" s="393"/>
      <c r="G931" s="394"/>
      <c r="H931" s="60"/>
      <c r="I931" s="395"/>
      <c r="J931" s="395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</row>
    <row r="932" ht="15.75" customHeight="1">
      <c r="A932" s="60"/>
      <c r="B932" s="60"/>
      <c r="C932" s="60"/>
      <c r="D932" s="60"/>
      <c r="E932" s="60"/>
      <c r="F932" s="393"/>
      <c r="G932" s="394"/>
      <c r="H932" s="60"/>
      <c r="I932" s="395"/>
      <c r="J932" s="395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</row>
    <row r="933" ht="15.75" customHeight="1">
      <c r="A933" s="60"/>
      <c r="B933" s="60"/>
      <c r="C933" s="60"/>
      <c r="D933" s="60"/>
      <c r="E933" s="60"/>
      <c r="F933" s="393"/>
      <c r="G933" s="394"/>
      <c r="H933" s="60"/>
      <c r="I933" s="395"/>
      <c r="J933" s="395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</row>
    <row r="934" ht="15.75" customHeight="1">
      <c r="A934" s="60"/>
      <c r="B934" s="60"/>
      <c r="C934" s="60"/>
      <c r="D934" s="60"/>
      <c r="E934" s="60"/>
      <c r="F934" s="393"/>
      <c r="G934" s="394"/>
      <c r="H934" s="60"/>
      <c r="I934" s="395"/>
      <c r="J934" s="395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</row>
    <row r="935" ht="15.75" customHeight="1">
      <c r="A935" s="60"/>
      <c r="B935" s="60"/>
      <c r="C935" s="60"/>
      <c r="D935" s="60"/>
      <c r="E935" s="60"/>
      <c r="F935" s="393"/>
      <c r="G935" s="394"/>
      <c r="H935" s="60"/>
      <c r="I935" s="395"/>
      <c r="J935" s="395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</row>
    <row r="936" ht="15.75" customHeight="1">
      <c r="A936" s="60"/>
      <c r="B936" s="60"/>
      <c r="C936" s="60"/>
      <c r="D936" s="60"/>
      <c r="E936" s="60"/>
      <c r="F936" s="393"/>
      <c r="G936" s="394"/>
      <c r="H936" s="60"/>
      <c r="I936" s="395"/>
      <c r="J936" s="395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</row>
    <row r="937" ht="15.75" customHeight="1">
      <c r="A937" s="60"/>
      <c r="B937" s="60"/>
      <c r="C937" s="60"/>
      <c r="D937" s="60"/>
      <c r="E937" s="60"/>
      <c r="F937" s="393"/>
      <c r="G937" s="394"/>
      <c r="H937" s="60"/>
      <c r="I937" s="395"/>
      <c r="J937" s="395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</row>
    <row r="938" ht="15.75" customHeight="1">
      <c r="A938" s="60"/>
      <c r="B938" s="60"/>
      <c r="C938" s="60"/>
      <c r="D938" s="60"/>
      <c r="E938" s="60"/>
      <c r="F938" s="393"/>
      <c r="G938" s="394"/>
      <c r="H938" s="60"/>
      <c r="I938" s="395"/>
      <c r="J938" s="395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</row>
    <row r="939" ht="15.75" customHeight="1">
      <c r="A939" s="60"/>
      <c r="B939" s="60"/>
      <c r="C939" s="60"/>
      <c r="D939" s="60"/>
      <c r="E939" s="60"/>
      <c r="F939" s="393"/>
      <c r="G939" s="394"/>
      <c r="H939" s="60"/>
      <c r="I939" s="395"/>
      <c r="J939" s="395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</row>
    <row r="940" ht="15.75" customHeight="1">
      <c r="A940" s="60"/>
      <c r="B940" s="60"/>
      <c r="C940" s="60"/>
      <c r="D940" s="60"/>
      <c r="E940" s="60"/>
      <c r="F940" s="393"/>
      <c r="G940" s="394"/>
      <c r="H940" s="60"/>
      <c r="I940" s="395"/>
      <c r="J940" s="395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</row>
    <row r="941" ht="15.75" customHeight="1">
      <c r="A941" s="60"/>
      <c r="B941" s="60"/>
      <c r="C941" s="60"/>
      <c r="D941" s="60"/>
      <c r="E941" s="60"/>
      <c r="F941" s="393"/>
      <c r="G941" s="394"/>
      <c r="H941" s="60"/>
      <c r="I941" s="395"/>
      <c r="J941" s="395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</row>
    <row r="942" ht="15.75" customHeight="1">
      <c r="A942" s="60"/>
      <c r="B942" s="60"/>
      <c r="C942" s="60"/>
      <c r="D942" s="60"/>
      <c r="E942" s="60"/>
      <c r="F942" s="393"/>
      <c r="G942" s="394"/>
      <c r="H942" s="60"/>
      <c r="I942" s="395"/>
      <c r="J942" s="395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</row>
    <row r="943" ht="15.75" customHeight="1">
      <c r="A943" s="60"/>
      <c r="B943" s="60"/>
      <c r="C943" s="60"/>
      <c r="D943" s="60"/>
      <c r="E943" s="60"/>
      <c r="F943" s="393"/>
      <c r="G943" s="394"/>
      <c r="H943" s="60"/>
      <c r="I943" s="395"/>
      <c r="J943" s="395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</row>
    <row r="944" ht="15.75" customHeight="1">
      <c r="A944" s="60"/>
      <c r="B944" s="60"/>
      <c r="C944" s="60"/>
      <c r="D944" s="60"/>
      <c r="E944" s="60"/>
      <c r="F944" s="393"/>
      <c r="G944" s="394"/>
      <c r="H944" s="60"/>
      <c r="I944" s="395"/>
      <c r="J944" s="395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</row>
    <row r="945" ht="15.75" customHeight="1">
      <c r="A945" s="60"/>
      <c r="B945" s="60"/>
      <c r="C945" s="60"/>
      <c r="D945" s="60"/>
      <c r="E945" s="60"/>
      <c r="F945" s="393"/>
      <c r="G945" s="394"/>
      <c r="H945" s="60"/>
      <c r="I945" s="395"/>
      <c r="J945" s="395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</row>
    <row r="946" ht="15.75" customHeight="1">
      <c r="A946" s="60"/>
      <c r="B946" s="60"/>
      <c r="C946" s="60"/>
      <c r="D946" s="60"/>
      <c r="E946" s="60"/>
      <c r="F946" s="393"/>
      <c r="G946" s="394"/>
      <c r="H946" s="60"/>
      <c r="I946" s="395"/>
      <c r="J946" s="395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</row>
    <row r="947" ht="15.75" customHeight="1">
      <c r="A947" s="60"/>
      <c r="B947" s="60"/>
      <c r="C947" s="60"/>
      <c r="D947" s="60"/>
      <c r="E947" s="60"/>
      <c r="F947" s="393"/>
      <c r="G947" s="394"/>
      <c r="H947" s="60"/>
      <c r="I947" s="395"/>
      <c r="J947" s="395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</row>
    <row r="948" ht="15.75" customHeight="1">
      <c r="A948" s="60"/>
      <c r="B948" s="60"/>
      <c r="C948" s="60"/>
      <c r="D948" s="60"/>
      <c r="E948" s="60"/>
      <c r="F948" s="393"/>
      <c r="G948" s="394"/>
      <c r="H948" s="60"/>
      <c r="I948" s="395"/>
      <c r="J948" s="395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</row>
    <row r="949" ht="15.75" customHeight="1">
      <c r="A949" s="60"/>
      <c r="B949" s="60"/>
      <c r="C949" s="60"/>
      <c r="D949" s="60"/>
      <c r="E949" s="60"/>
      <c r="F949" s="393"/>
      <c r="G949" s="394"/>
      <c r="H949" s="60"/>
      <c r="I949" s="395"/>
      <c r="J949" s="395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</row>
    <row r="950" ht="15.75" customHeight="1">
      <c r="A950" s="60"/>
      <c r="B950" s="60"/>
      <c r="C950" s="60"/>
      <c r="D950" s="60"/>
      <c r="E950" s="60"/>
      <c r="F950" s="393"/>
      <c r="G950" s="394"/>
      <c r="H950" s="60"/>
      <c r="I950" s="395"/>
      <c r="J950" s="395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</row>
    <row r="951" ht="15.75" customHeight="1">
      <c r="A951" s="60"/>
      <c r="B951" s="60"/>
      <c r="C951" s="60"/>
      <c r="D951" s="60"/>
      <c r="E951" s="60"/>
      <c r="F951" s="393"/>
      <c r="G951" s="394"/>
      <c r="H951" s="60"/>
      <c r="I951" s="395"/>
      <c r="J951" s="395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</row>
    <row r="952" ht="15.75" customHeight="1">
      <c r="A952" s="60"/>
      <c r="B952" s="60"/>
      <c r="C952" s="60"/>
      <c r="D952" s="60"/>
      <c r="E952" s="60"/>
      <c r="F952" s="393"/>
      <c r="G952" s="394"/>
      <c r="H952" s="60"/>
      <c r="I952" s="395"/>
      <c r="J952" s="395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</row>
    <row r="953" ht="15.75" customHeight="1">
      <c r="A953" s="60"/>
      <c r="B953" s="60"/>
      <c r="C953" s="60"/>
      <c r="D953" s="60"/>
      <c r="E953" s="60"/>
      <c r="F953" s="393"/>
      <c r="G953" s="394"/>
      <c r="H953" s="60"/>
      <c r="I953" s="395"/>
      <c r="J953" s="395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</row>
    <row r="954" ht="15.75" customHeight="1">
      <c r="A954" s="60"/>
      <c r="B954" s="60"/>
      <c r="C954" s="60"/>
      <c r="D954" s="60"/>
      <c r="E954" s="60"/>
      <c r="F954" s="393"/>
      <c r="G954" s="394"/>
      <c r="H954" s="60"/>
      <c r="I954" s="395"/>
      <c r="J954" s="395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</row>
    <row r="955" ht="15.75" customHeight="1">
      <c r="A955" s="60"/>
      <c r="B955" s="60"/>
      <c r="C955" s="60"/>
      <c r="D955" s="60"/>
      <c r="E955" s="60"/>
      <c r="F955" s="393"/>
      <c r="G955" s="394"/>
      <c r="H955" s="60"/>
      <c r="I955" s="395"/>
      <c r="J955" s="395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</row>
    <row r="956" ht="15.75" customHeight="1">
      <c r="A956" s="60"/>
      <c r="B956" s="60"/>
      <c r="C956" s="60"/>
      <c r="D956" s="60"/>
      <c r="E956" s="60"/>
      <c r="F956" s="393"/>
      <c r="G956" s="394"/>
      <c r="H956" s="60"/>
      <c r="I956" s="395"/>
      <c r="J956" s="395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</row>
    <row r="957" ht="15.75" customHeight="1">
      <c r="A957" s="60"/>
      <c r="B957" s="60"/>
      <c r="C957" s="60"/>
      <c r="D957" s="60"/>
      <c r="E957" s="60"/>
      <c r="F957" s="393"/>
      <c r="G957" s="394"/>
      <c r="H957" s="60"/>
      <c r="I957" s="395"/>
      <c r="J957" s="395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</row>
    <row r="958" ht="15.75" customHeight="1">
      <c r="A958" s="60"/>
      <c r="B958" s="60"/>
      <c r="C958" s="60"/>
      <c r="D958" s="60"/>
      <c r="E958" s="60"/>
      <c r="F958" s="393"/>
      <c r="G958" s="394"/>
      <c r="H958" s="60"/>
      <c r="I958" s="395"/>
      <c r="J958" s="395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</row>
    <row r="959" ht="15.75" customHeight="1">
      <c r="A959" s="60"/>
      <c r="B959" s="60"/>
      <c r="C959" s="60"/>
      <c r="D959" s="60"/>
      <c r="E959" s="60"/>
      <c r="F959" s="393"/>
      <c r="G959" s="394"/>
      <c r="H959" s="60"/>
      <c r="I959" s="395"/>
      <c r="J959" s="395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</row>
    <row r="960" ht="15.75" customHeight="1">
      <c r="A960" s="60"/>
      <c r="B960" s="60"/>
      <c r="C960" s="60"/>
      <c r="D960" s="60"/>
      <c r="E960" s="60"/>
      <c r="F960" s="393"/>
      <c r="G960" s="394"/>
      <c r="H960" s="60"/>
      <c r="I960" s="395"/>
      <c r="J960" s="395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</row>
    <row r="961" ht="15.75" customHeight="1">
      <c r="A961" s="60"/>
      <c r="B961" s="60"/>
      <c r="C961" s="60"/>
      <c r="D961" s="60"/>
      <c r="E961" s="60"/>
      <c r="F961" s="393"/>
      <c r="G961" s="394"/>
      <c r="H961" s="60"/>
      <c r="I961" s="395"/>
      <c r="J961" s="395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</row>
    <row r="962" ht="15.75" customHeight="1">
      <c r="A962" s="60"/>
      <c r="B962" s="60"/>
      <c r="C962" s="60"/>
      <c r="D962" s="60"/>
      <c r="E962" s="60"/>
      <c r="F962" s="393"/>
      <c r="G962" s="394"/>
      <c r="H962" s="60"/>
      <c r="I962" s="395"/>
      <c r="J962" s="395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</row>
    <row r="963" ht="15.75" customHeight="1">
      <c r="A963" s="60"/>
      <c r="B963" s="60"/>
      <c r="C963" s="60"/>
      <c r="D963" s="60"/>
      <c r="E963" s="60"/>
      <c r="F963" s="393"/>
      <c r="G963" s="394"/>
      <c r="H963" s="60"/>
      <c r="I963" s="395"/>
      <c r="J963" s="395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</row>
    <row r="964" ht="15.75" customHeight="1">
      <c r="A964" s="60"/>
      <c r="B964" s="60"/>
      <c r="C964" s="60"/>
      <c r="D964" s="60"/>
      <c r="E964" s="60"/>
      <c r="F964" s="393"/>
      <c r="G964" s="394"/>
      <c r="H964" s="60"/>
      <c r="I964" s="395"/>
      <c r="J964" s="395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</row>
    <row r="965" ht="15.75" customHeight="1">
      <c r="A965" s="60"/>
      <c r="B965" s="60"/>
      <c r="C965" s="60"/>
      <c r="D965" s="60"/>
      <c r="E965" s="60"/>
      <c r="F965" s="393"/>
      <c r="G965" s="394"/>
      <c r="H965" s="60"/>
      <c r="I965" s="395"/>
      <c r="J965" s="395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</row>
    <row r="966" ht="15.75" customHeight="1">
      <c r="A966" s="60"/>
      <c r="B966" s="60"/>
      <c r="C966" s="60"/>
      <c r="D966" s="60"/>
      <c r="E966" s="60"/>
      <c r="F966" s="393"/>
      <c r="G966" s="394"/>
      <c r="H966" s="60"/>
      <c r="I966" s="395"/>
      <c r="J966" s="395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</row>
    <row r="967" ht="15.75" customHeight="1">
      <c r="A967" s="60"/>
      <c r="B967" s="60"/>
      <c r="C967" s="60"/>
      <c r="D967" s="60"/>
      <c r="E967" s="60"/>
      <c r="F967" s="393"/>
      <c r="G967" s="394"/>
      <c r="H967" s="60"/>
      <c r="I967" s="395"/>
      <c r="J967" s="395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</row>
    <row r="968" ht="15.75" customHeight="1">
      <c r="A968" s="60"/>
      <c r="B968" s="60"/>
      <c r="C968" s="60"/>
      <c r="D968" s="60"/>
      <c r="E968" s="60"/>
      <c r="F968" s="393"/>
      <c r="G968" s="394"/>
      <c r="H968" s="60"/>
      <c r="I968" s="395"/>
      <c r="J968" s="395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</row>
    <row r="969" ht="15.75" customHeight="1">
      <c r="A969" s="60"/>
      <c r="B969" s="60"/>
      <c r="C969" s="60"/>
      <c r="D969" s="60"/>
      <c r="E969" s="60"/>
      <c r="F969" s="393"/>
      <c r="G969" s="394"/>
      <c r="H969" s="60"/>
      <c r="I969" s="395"/>
      <c r="J969" s="395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</row>
    <row r="970" ht="15.75" customHeight="1">
      <c r="A970" s="60"/>
      <c r="B970" s="60"/>
      <c r="C970" s="60"/>
      <c r="D970" s="60"/>
      <c r="E970" s="60"/>
      <c r="F970" s="393"/>
      <c r="G970" s="394"/>
      <c r="H970" s="60"/>
      <c r="I970" s="395"/>
      <c r="J970" s="395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</row>
    <row r="971" ht="15.75" customHeight="1">
      <c r="A971" s="60"/>
      <c r="B971" s="60"/>
      <c r="C971" s="60"/>
      <c r="D971" s="60"/>
      <c r="E971" s="60"/>
      <c r="F971" s="393"/>
      <c r="G971" s="394"/>
      <c r="H971" s="60"/>
      <c r="I971" s="395"/>
      <c r="J971" s="395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</row>
    <row r="972" ht="15.75" customHeight="1">
      <c r="A972" s="60"/>
      <c r="B972" s="60"/>
      <c r="C972" s="60"/>
      <c r="D972" s="60"/>
      <c r="E972" s="60"/>
      <c r="F972" s="393"/>
      <c r="G972" s="394"/>
      <c r="H972" s="60"/>
      <c r="I972" s="395"/>
      <c r="J972" s="395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</row>
    <row r="973" ht="15.75" customHeight="1">
      <c r="A973" s="60"/>
      <c r="B973" s="60"/>
      <c r="C973" s="60"/>
      <c r="D973" s="60"/>
      <c r="E973" s="60"/>
      <c r="F973" s="393"/>
      <c r="G973" s="394"/>
      <c r="H973" s="60"/>
      <c r="I973" s="395"/>
      <c r="J973" s="395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</row>
    <row r="974" ht="15.75" customHeight="1">
      <c r="A974" s="60"/>
      <c r="B974" s="60"/>
      <c r="C974" s="60"/>
      <c r="D974" s="60"/>
      <c r="E974" s="60"/>
      <c r="F974" s="393"/>
      <c r="G974" s="394"/>
      <c r="H974" s="60"/>
      <c r="I974" s="395"/>
      <c r="J974" s="395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</row>
    <row r="975" ht="15.75" customHeight="1">
      <c r="A975" s="60"/>
      <c r="B975" s="60"/>
      <c r="C975" s="60"/>
      <c r="D975" s="60"/>
      <c r="E975" s="60"/>
      <c r="F975" s="393"/>
      <c r="G975" s="394"/>
      <c r="H975" s="60"/>
      <c r="I975" s="395"/>
      <c r="J975" s="395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</row>
    <row r="976" ht="15.75" customHeight="1">
      <c r="A976" s="60"/>
      <c r="B976" s="60"/>
      <c r="C976" s="60"/>
      <c r="D976" s="60"/>
      <c r="E976" s="60"/>
      <c r="F976" s="393"/>
      <c r="G976" s="394"/>
      <c r="H976" s="60"/>
      <c r="I976" s="395"/>
      <c r="J976" s="395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</row>
    <row r="977" ht="15.75" customHeight="1">
      <c r="A977" s="60"/>
      <c r="B977" s="60"/>
      <c r="C977" s="60"/>
      <c r="D977" s="60"/>
      <c r="E977" s="60"/>
      <c r="F977" s="393"/>
      <c r="G977" s="394"/>
      <c r="H977" s="60"/>
      <c r="I977" s="395"/>
      <c r="J977" s="395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</row>
    <row r="978" ht="15.75" customHeight="1">
      <c r="A978" s="60"/>
      <c r="B978" s="60"/>
      <c r="C978" s="60"/>
      <c r="D978" s="60"/>
      <c r="E978" s="60"/>
      <c r="F978" s="393"/>
      <c r="G978" s="394"/>
      <c r="H978" s="60"/>
      <c r="I978" s="395"/>
      <c r="J978" s="395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</row>
    <row r="979" ht="15.75" customHeight="1">
      <c r="A979" s="60"/>
      <c r="B979" s="60"/>
      <c r="C979" s="60"/>
      <c r="D979" s="60"/>
      <c r="E979" s="60"/>
      <c r="F979" s="393"/>
      <c r="G979" s="394"/>
      <c r="H979" s="60"/>
      <c r="I979" s="395"/>
      <c r="J979" s="395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</row>
    <row r="980" ht="15.75" customHeight="1">
      <c r="A980" s="60"/>
      <c r="B980" s="60"/>
      <c r="C980" s="60"/>
      <c r="D980" s="60"/>
      <c r="E980" s="60"/>
      <c r="F980" s="393"/>
      <c r="G980" s="394"/>
      <c r="H980" s="60"/>
      <c r="I980" s="395"/>
      <c r="J980" s="395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</row>
    <row r="981" ht="15.75" customHeight="1">
      <c r="A981" s="60"/>
      <c r="B981" s="60"/>
      <c r="C981" s="60"/>
      <c r="D981" s="60"/>
      <c r="E981" s="60"/>
      <c r="F981" s="393"/>
      <c r="G981" s="394"/>
      <c r="H981" s="60"/>
      <c r="I981" s="395"/>
      <c r="J981" s="395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</row>
    <row r="982" ht="15.75" customHeight="1">
      <c r="A982" s="60"/>
      <c r="B982" s="60"/>
      <c r="C982" s="60"/>
      <c r="D982" s="60"/>
      <c r="E982" s="60"/>
      <c r="F982" s="393"/>
      <c r="G982" s="394"/>
      <c r="H982" s="60"/>
      <c r="I982" s="395"/>
      <c r="J982" s="395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</row>
    <row r="983" ht="15.75" customHeight="1">
      <c r="A983" s="60"/>
      <c r="B983" s="60"/>
      <c r="C983" s="60"/>
      <c r="D983" s="60"/>
      <c r="E983" s="60"/>
      <c r="F983" s="393"/>
      <c r="G983" s="394"/>
      <c r="H983" s="60"/>
      <c r="I983" s="395"/>
      <c r="J983" s="395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</row>
    <row r="984" ht="15.75" customHeight="1">
      <c r="A984" s="60"/>
      <c r="B984" s="60"/>
      <c r="C984" s="60"/>
      <c r="D984" s="60"/>
      <c r="E984" s="60"/>
      <c r="F984" s="393"/>
      <c r="G984" s="394"/>
      <c r="H984" s="60"/>
      <c r="I984" s="395"/>
      <c r="J984" s="395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</row>
    <row r="985" ht="15.75" customHeight="1">
      <c r="A985" s="60"/>
      <c r="B985" s="60"/>
      <c r="C985" s="60"/>
      <c r="D985" s="60"/>
      <c r="E985" s="60"/>
      <c r="F985" s="393"/>
      <c r="G985" s="394"/>
      <c r="H985" s="60"/>
      <c r="I985" s="395"/>
      <c r="J985" s="395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</row>
    <row r="986" ht="15.75" customHeight="1">
      <c r="A986" s="60"/>
      <c r="B986" s="60"/>
      <c r="C986" s="60"/>
      <c r="D986" s="60"/>
      <c r="E986" s="60"/>
      <c r="F986" s="393"/>
      <c r="G986" s="394"/>
      <c r="H986" s="60"/>
      <c r="I986" s="395"/>
      <c r="J986" s="395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</row>
    <row r="987" ht="15.75" customHeight="1">
      <c r="A987" s="60"/>
      <c r="B987" s="60"/>
      <c r="C987" s="60"/>
      <c r="D987" s="60"/>
      <c r="E987" s="60"/>
      <c r="F987" s="393"/>
      <c r="G987" s="394"/>
      <c r="H987" s="60"/>
      <c r="I987" s="395"/>
      <c r="J987" s="395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</row>
    <row r="988" ht="15.75" customHeight="1">
      <c r="A988" s="60"/>
      <c r="B988" s="60"/>
      <c r="C988" s="60"/>
      <c r="D988" s="60"/>
      <c r="E988" s="60"/>
      <c r="F988" s="393"/>
      <c r="G988" s="394"/>
      <c r="H988" s="60"/>
      <c r="I988" s="395"/>
      <c r="J988" s="395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</row>
    <row r="989" ht="15.75" customHeight="1">
      <c r="A989" s="60"/>
      <c r="B989" s="60"/>
      <c r="C989" s="60"/>
      <c r="D989" s="60"/>
      <c r="E989" s="60"/>
      <c r="F989" s="393"/>
      <c r="G989" s="394"/>
      <c r="H989" s="60"/>
      <c r="I989" s="395"/>
      <c r="J989" s="395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</row>
    <row r="990" ht="15.75" customHeight="1">
      <c r="A990" s="60"/>
      <c r="B990" s="60"/>
      <c r="C990" s="60"/>
      <c r="D990" s="60"/>
      <c r="E990" s="60"/>
      <c r="F990" s="393"/>
      <c r="G990" s="394"/>
      <c r="H990" s="60"/>
      <c r="I990" s="395"/>
      <c r="J990" s="395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</row>
    <row r="991" ht="15.75" customHeight="1">
      <c r="A991" s="60"/>
      <c r="B991" s="60"/>
      <c r="C991" s="60"/>
      <c r="D991" s="60"/>
      <c r="E991" s="60"/>
      <c r="F991" s="393"/>
      <c r="G991" s="394"/>
      <c r="H991" s="60"/>
      <c r="I991" s="395"/>
      <c r="J991" s="395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</row>
    <row r="992" ht="15.75" customHeight="1">
      <c r="A992" s="60"/>
      <c r="B992" s="60"/>
      <c r="C992" s="60"/>
      <c r="D992" s="60"/>
      <c r="E992" s="60"/>
      <c r="F992" s="393"/>
      <c r="G992" s="394"/>
      <c r="H992" s="60"/>
      <c r="I992" s="395"/>
      <c r="J992" s="395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</row>
    <row r="993" ht="15.75" customHeight="1">
      <c r="A993" s="60"/>
      <c r="B993" s="60"/>
      <c r="C993" s="60"/>
      <c r="D993" s="60"/>
      <c r="E993" s="60"/>
      <c r="F993" s="393"/>
      <c r="G993" s="394"/>
      <c r="H993" s="60"/>
      <c r="I993" s="395"/>
      <c r="J993" s="395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</row>
    <row r="994" ht="15.75" customHeight="1">
      <c r="A994" s="60"/>
      <c r="B994" s="60"/>
      <c r="C994" s="60"/>
      <c r="D994" s="60"/>
      <c r="E994" s="60"/>
      <c r="F994" s="393"/>
      <c r="G994" s="394"/>
      <c r="H994" s="60"/>
      <c r="I994" s="395"/>
      <c r="J994" s="395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</row>
    <row r="995" ht="15.75" customHeight="1">
      <c r="A995" s="60"/>
      <c r="B995" s="60"/>
      <c r="C995" s="60"/>
      <c r="D995" s="60"/>
      <c r="E995" s="60"/>
      <c r="F995" s="393"/>
      <c r="G995" s="394"/>
      <c r="H995" s="60"/>
      <c r="I995" s="395"/>
      <c r="J995" s="395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</row>
    <row r="996" ht="15.75" customHeight="1">
      <c r="A996" s="60"/>
      <c r="B996" s="60"/>
      <c r="C996" s="60"/>
      <c r="D996" s="60"/>
      <c r="E996" s="60"/>
      <c r="F996" s="393"/>
      <c r="G996" s="394"/>
      <c r="H996" s="60"/>
      <c r="I996" s="395"/>
      <c r="J996" s="395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</row>
    <row r="997" ht="15.75" customHeight="1">
      <c r="A997" s="60"/>
      <c r="B997" s="60"/>
      <c r="C997" s="60"/>
      <c r="D997" s="60"/>
      <c r="E997" s="60"/>
      <c r="F997" s="393"/>
      <c r="G997" s="394"/>
      <c r="H997" s="60"/>
      <c r="I997" s="395"/>
      <c r="J997" s="395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</row>
    <row r="998" ht="15.75" customHeight="1">
      <c r="A998" s="60"/>
      <c r="B998" s="60"/>
      <c r="C998" s="60"/>
      <c r="D998" s="60"/>
      <c r="E998" s="60"/>
      <c r="F998" s="393"/>
      <c r="G998" s="394"/>
      <c r="H998" s="60"/>
      <c r="I998" s="395"/>
      <c r="J998" s="395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</row>
    <row r="999" ht="15.75" customHeight="1">
      <c r="A999" s="60"/>
      <c r="B999" s="60"/>
      <c r="C999" s="60"/>
      <c r="D999" s="60"/>
      <c r="E999" s="60"/>
      <c r="F999" s="393"/>
      <c r="G999" s="394"/>
      <c r="H999" s="60"/>
      <c r="I999" s="395"/>
      <c r="J999" s="395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</row>
    <row r="1000" ht="15.75" customHeight="1">
      <c r="A1000" s="60"/>
      <c r="B1000" s="60"/>
      <c r="C1000" s="60"/>
      <c r="D1000" s="60"/>
      <c r="E1000" s="60"/>
      <c r="F1000" s="393"/>
      <c r="G1000" s="394"/>
      <c r="H1000" s="60"/>
      <c r="I1000" s="395"/>
      <c r="J1000" s="395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</row>
    <row r="1001" ht="15.75" customHeight="1">
      <c r="A1001" s="60"/>
      <c r="B1001" s="60"/>
      <c r="C1001" s="60"/>
      <c r="D1001" s="60"/>
      <c r="E1001" s="60"/>
      <c r="F1001" s="393"/>
      <c r="G1001" s="394"/>
      <c r="H1001" s="60"/>
      <c r="I1001" s="395"/>
      <c r="J1001" s="395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</row>
    <row r="1002" ht="15.75" customHeight="1">
      <c r="A1002" s="60"/>
      <c r="B1002" s="60"/>
      <c r="C1002" s="60"/>
      <c r="D1002" s="60"/>
      <c r="E1002" s="60"/>
      <c r="F1002" s="393"/>
      <c r="G1002" s="394"/>
      <c r="H1002" s="60"/>
      <c r="I1002" s="395"/>
      <c r="J1002" s="395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60"/>
      <c r="AV1002" s="60"/>
    </row>
    <row r="1003" ht="15.75" customHeight="1">
      <c r="A1003" s="60"/>
      <c r="B1003" s="60"/>
      <c r="C1003" s="60"/>
      <c r="D1003" s="60"/>
      <c r="E1003" s="60"/>
      <c r="F1003" s="393"/>
      <c r="G1003" s="394"/>
      <c r="H1003" s="60"/>
      <c r="I1003" s="395"/>
      <c r="J1003" s="395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</row>
    <row r="1004" ht="15.75" customHeight="1">
      <c r="A1004" s="60"/>
      <c r="B1004" s="60"/>
      <c r="C1004" s="60"/>
      <c r="D1004" s="60"/>
      <c r="E1004" s="60"/>
      <c r="F1004" s="393"/>
      <c r="G1004" s="394"/>
      <c r="H1004" s="60"/>
      <c r="I1004" s="395"/>
      <c r="J1004" s="395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60"/>
    </row>
    <row r="1005" ht="15.75" customHeight="1">
      <c r="A1005" s="60"/>
      <c r="B1005" s="60"/>
      <c r="C1005" s="60"/>
      <c r="D1005" s="60"/>
      <c r="E1005" s="60"/>
      <c r="F1005" s="393"/>
      <c r="G1005" s="394"/>
      <c r="H1005" s="60"/>
      <c r="I1005" s="395"/>
      <c r="J1005" s="395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</row>
    <row r="1006" ht="15.75" customHeight="1">
      <c r="A1006" s="60"/>
      <c r="B1006" s="60"/>
      <c r="C1006" s="60"/>
      <c r="D1006" s="60"/>
      <c r="E1006" s="60"/>
      <c r="F1006" s="393"/>
      <c r="G1006" s="394"/>
      <c r="H1006" s="60"/>
      <c r="I1006" s="395"/>
      <c r="J1006" s="395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/>
      <c r="AN1006" s="60"/>
      <c r="AO1006" s="60"/>
      <c r="AP1006" s="60"/>
      <c r="AQ1006" s="60"/>
      <c r="AR1006" s="60"/>
      <c r="AS1006" s="60"/>
      <c r="AT1006" s="60"/>
      <c r="AU1006" s="60"/>
      <c r="AV1006" s="60"/>
    </row>
    <row r="1007" ht="15.75" customHeight="1">
      <c r="A1007" s="60"/>
      <c r="B1007" s="60"/>
      <c r="C1007" s="60"/>
      <c r="D1007" s="60"/>
      <c r="E1007" s="60"/>
      <c r="F1007" s="393"/>
      <c r="G1007" s="394"/>
      <c r="H1007" s="60"/>
      <c r="I1007" s="395"/>
      <c r="J1007" s="395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</row>
    <row r="1008" ht="15.75" customHeight="1">
      <c r="A1008" s="60"/>
      <c r="B1008" s="60"/>
      <c r="C1008" s="60"/>
      <c r="D1008" s="60"/>
      <c r="E1008" s="60"/>
      <c r="F1008" s="393"/>
      <c r="G1008" s="394"/>
      <c r="H1008" s="60"/>
      <c r="I1008" s="395"/>
      <c r="J1008" s="395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60"/>
      <c r="AV1008" s="60"/>
    </row>
    <row r="1009" ht="15.75" customHeight="1">
      <c r="A1009" s="60"/>
      <c r="B1009" s="60"/>
      <c r="C1009" s="60"/>
      <c r="D1009" s="60"/>
      <c r="E1009" s="60"/>
      <c r="F1009" s="393"/>
      <c r="G1009" s="394"/>
      <c r="H1009" s="60"/>
      <c r="I1009" s="395"/>
      <c r="J1009" s="395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  <c r="AO1009" s="60"/>
      <c r="AP1009" s="60"/>
      <c r="AQ1009" s="60"/>
      <c r="AR1009" s="60"/>
      <c r="AS1009" s="60"/>
      <c r="AT1009" s="60"/>
      <c r="AU1009" s="60"/>
      <c r="AV1009" s="60"/>
    </row>
    <row r="1010" ht="15.75" customHeight="1">
      <c r="A1010" s="60"/>
      <c r="B1010" s="60"/>
      <c r="C1010" s="60"/>
      <c r="D1010" s="60"/>
      <c r="E1010" s="60"/>
      <c r="F1010" s="393"/>
      <c r="G1010" s="394"/>
      <c r="H1010" s="60"/>
      <c r="I1010" s="395"/>
      <c r="J1010" s="395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/>
      <c r="AM1010" s="60"/>
      <c r="AN1010" s="60"/>
      <c r="AO1010" s="60"/>
      <c r="AP1010" s="60"/>
      <c r="AQ1010" s="60"/>
      <c r="AR1010" s="60"/>
      <c r="AS1010" s="60"/>
      <c r="AT1010" s="60"/>
      <c r="AU1010" s="60"/>
      <c r="AV1010" s="60"/>
    </row>
    <row r="1011" ht="15.75" customHeight="1">
      <c r="A1011" s="60"/>
      <c r="B1011" s="60"/>
      <c r="C1011" s="60"/>
      <c r="D1011" s="60"/>
      <c r="E1011" s="60"/>
      <c r="F1011" s="393"/>
      <c r="G1011" s="394"/>
      <c r="H1011" s="60"/>
      <c r="I1011" s="395"/>
      <c r="J1011" s="395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/>
      <c r="AN1011" s="60"/>
      <c r="AO1011" s="60"/>
      <c r="AP1011" s="60"/>
      <c r="AQ1011" s="60"/>
      <c r="AR1011" s="60"/>
      <c r="AS1011" s="60"/>
      <c r="AT1011" s="60"/>
      <c r="AU1011" s="60"/>
      <c r="AV1011" s="60"/>
    </row>
    <row r="1012" ht="15.75" customHeight="1">
      <c r="A1012" s="60"/>
      <c r="B1012" s="60"/>
      <c r="C1012" s="60"/>
      <c r="D1012" s="60"/>
      <c r="E1012" s="60"/>
      <c r="F1012" s="393"/>
      <c r="G1012" s="394"/>
      <c r="H1012" s="60"/>
      <c r="I1012" s="395"/>
      <c r="J1012" s="395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/>
      <c r="AN1012" s="60"/>
      <c r="AO1012" s="60"/>
      <c r="AP1012" s="60"/>
      <c r="AQ1012" s="60"/>
      <c r="AR1012" s="60"/>
      <c r="AS1012" s="60"/>
      <c r="AT1012" s="60"/>
      <c r="AU1012" s="60"/>
      <c r="AV1012" s="60"/>
    </row>
    <row r="1013" ht="15.75" customHeight="1">
      <c r="A1013" s="60"/>
      <c r="B1013" s="60"/>
      <c r="C1013" s="60"/>
      <c r="D1013" s="60"/>
      <c r="E1013" s="60"/>
      <c r="F1013" s="393"/>
      <c r="G1013" s="394"/>
      <c r="H1013" s="60"/>
      <c r="I1013" s="395"/>
      <c r="J1013" s="395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60"/>
      <c r="AU1013" s="60"/>
      <c r="AV1013" s="60"/>
    </row>
  </sheetData>
  <conditionalFormatting sqref="K9">
    <cfRule type="notContainsBlanks" dxfId="35" priority="1">
      <formula>LEN(TRIM(K9))&gt;0</formula>
    </cfRule>
  </conditionalFormatting>
  <dataValidations>
    <dataValidation type="list" allowBlank="1" showErrorMessage="1" sqref="B2:B1013">
      <formula1>"ACTIVE,INACTIVE,FOR RENEWAL,IN PROGRESS"</formula1>
    </dataValidation>
    <dataValidation type="list" allowBlank="1" sqref="H2:H1013">
      <formula1>"Partnership,Fixed"</formula1>
    </dataValidation>
    <dataValidation type="list" allowBlank="1" showErrorMessage="1" sqref="A2:A1013">
      <formula1>"Saint Dominique,The Palladium,One Madison Place,Lafayette,Saint Honore,Avida Tower 1,Avida Tower 2,Avida Tower 3,One Spatial,Bernwood Tower,SMDC,Peoples Hotel,WV Towers,Avida Storeys 1,Avida Storeys 2"</formula1>
    </dataValidation>
    <dataValidation type="list" allowBlank="1" sqref="D2:D1013">
      <formula1>"Studio,1-Bedroom,2-Bedroom,Executive Studio"</formula1>
    </dataValidation>
  </dataValidations>
  <hyperlinks>
    <hyperlink r:id="rId2" ref="F2"/>
    <hyperlink r:id="rId3" ref="L2"/>
    <hyperlink r:id="rId4" ref="N2"/>
    <hyperlink r:id="rId5" ref="O2"/>
    <hyperlink r:id="rId6" ref="P2"/>
    <hyperlink r:id="rId7" ref="N3"/>
    <hyperlink r:id="rId8" ref="O3"/>
    <hyperlink r:id="rId9" ref="P3"/>
    <hyperlink r:id="rId10" ref="L4"/>
    <hyperlink r:id="rId11" ref="N4"/>
    <hyperlink r:id="rId12" ref="O4"/>
    <hyperlink r:id="rId13" ref="P4"/>
    <hyperlink r:id="rId14" ref="F5"/>
    <hyperlink r:id="rId15" ref="L5"/>
    <hyperlink r:id="rId16" ref="N5"/>
    <hyperlink r:id="rId17" ref="O5"/>
    <hyperlink r:id="rId18" ref="N6"/>
    <hyperlink r:id="rId19" ref="F7"/>
    <hyperlink r:id="rId20" ref="L7"/>
    <hyperlink r:id="rId21" ref="F8"/>
    <hyperlink r:id="rId22" ref="L8"/>
    <hyperlink r:id="rId23" ref="N8"/>
    <hyperlink r:id="rId24" ref="F9"/>
    <hyperlink r:id="rId25" ref="L9"/>
    <hyperlink r:id="rId26" ref="F10"/>
    <hyperlink r:id="rId27" ref="N10"/>
    <hyperlink r:id="rId28" ref="O10"/>
    <hyperlink r:id="rId29" ref="P10"/>
    <hyperlink r:id="rId30" ref="N11"/>
    <hyperlink r:id="rId31" ref="O11"/>
    <hyperlink r:id="rId32" ref="P11"/>
    <hyperlink r:id="rId33" ref="F12"/>
    <hyperlink r:id="rId34" ref="N12"/>
    <hyperlink r:id="rId35" ref="O12"/>
    <hyperlink r:id="rId36" ref="P12"/>
    <hyperlink r:id="rId37" ref="F13"/>
    <hyperlink r:id="rId38" ref="L13"/>
    <hyperlink r:id="rId39" ref="N13"/>
    <hyperlink r:id="rId40" ref="O13"/>
    <hyperlink r:id="rId41" ref="P13"/>
    <hyperlink r:id="rId42" ref="F14"/>
    <hyperlink r:id="rId43" ref="N14"/>
    <hyperlink r:id="rId44" ref="O14"/>
    <hyperlink r:id="rId45" ref="P14"/>
    <hyperlink r:id="rId46" ref="F15"/>
    <hyperlink r:id="rId47" ref="L15"/>
    <hyperlink r:id="rId48" ref="N15"/>
    <hyperlink r:id="rId49" ref="O15"/>
    <hyperlink r:id="rId50" ref="P15"/>
    <hyperlink r:id="rId51" ref="F16"/>
    <hyperlink r:id="rId52" ref="N16"/>
    <hyperlink r:id="rId53" ref="O16"/>
    <hyperlink r:id="rId54" ref="P16"/>
    <hyperlink r:id="rId55" ref="F17"/>
    <hyperlink r:id="rId56" ref="N17"/>
    <hyperlink r:id="rId57" ref="O17"/>
    <hyperlink r:id="rId58" ref="P17"/>
    <hyperlink r:id="rId59" ref="F18"/>
    <hyperlink r:id="rId60" ref="L18"/>
    <hyperlink r:id="rId61" ref="N18"/>
    <hyperlink r:id="rId62" ref="O18"/>
    <hyperlink r:id="rId63" ref="P18"/>
    <hyperlink r:id="rId64" ref="L19"/>
    <hyperlink r:id="rId65" ref="N19"/>
    <hyperlink r:id="rId66" ref="O19"/>
    <hyperlink r:id="rId67" ref="P19"/>
    <hyperlink r:id="rId68" ref="L20"/>
    <hyperlink r:id="rId69" ref="N20"/>
    <hyperlink r:id="rId70" ref="O20"/>
    <hyperlink r:id="rId71" ref="P20"/>
    <hyperlink r:id="rId72" ref="F21"/>
    <hyperlink r:id="rId73" ref="N21"/>
    <hyperlink r:id="rId74" ref="O21"/>
    <hyperlink r:id="rId75" ref="P21"/>
    <hyperlink r:id="rId76" ref="F22"/>
    <hyperlink r:id="rId77" ref="L22"/>
    <hyperlink r:id="rId78" ref="N22"/>
    <hyperlink r:id="rId79" ref="O22"/>
    <hyperlink r:id="rId80" ref="P22"/>
    <hyperlink r:id="rId81" ref="F23"/>
    <hyperlink r:id="rId82" ref="L23"/>
    <hyperlink r:id="rId83" ref="N23"/>
    <hyperlink r:id="rId84" ref="O23"/>
    <hyperlink r:id="rId85" ref="P23"/>
    <hyperlink r:id="rId86" ref="F24"/>
    <hyperlink r:id="rId87" ref="N24"/>
    <hyperlink r:id="rId88" ref="O24"/>
    <hyperlink r:id="rId89" ref="P24"/>
    <hyperlink r:id="rId90" ref="F25"/>
    <hyperlink r:id="rId91" ref="L25"/>
    <hyperlink r:id="rId92" ref="N25"/>
    <hyperlink r:id="rId93" ref="O25"/>
    <hyperlink r:id="rId94" ref="P25"/>
    <hyperlink r:id="rId95" ref="N26"/>
    <hyperlink r:id="rId96" ref="O26"/>
    <hyperlink r:id="rId97" ref="P26"/>
    <hyperlink r:id="rId98" ref="F27"/>
    <hyperlink r:id="rId99" ref="L27"/>
    <hyperlink r:id="rId100" ref="N27"/>
    <hyperlink r:id="rId101" ref="O27"/>
    <hyperlink r:id="rId102" ref="P27"/>
    <hyperlink r:id="rId103" ref="L28"/>
    <hyperlink r:id="rId104" ref="F29"/>
    <hyperlink r:id="rId105" ref="L29"/>
    <hyperlink r:id="rId106" ref="N29"/>
    <hyperlink r:id="rId107" ref="O29"/>
    <hyperlink r:id="rId108" ref="P29"/>
    <hyperlink r:id="rId109" ref="N30"/>
    <hyperlink r:id="rId110" ref="O30"/>
    <hyperlink r:id="rId111" ref="P30"/>
    <hyperlink r:id="rId112" ref="F31"/>
    <hyperlink r:id="rId113" ref="N31"/>
    <hyperlink r:id="rId114" ref="O31"/>
    <hyperlink r:id="rId115" ref="P31"/>
    <hyperlink r:id="rId116" ref="F32"/>
    <hyperlink r:id="rId117" ref="L32"/>
    <hyperlink r:id="rId118" ref="N32"/>
    <hyperlink r:id="rId119" ref="O32"/>
    <hyperlink r:id="rId120" ref="P32"/>
    <hyperlink r:id="rId121" ref="F33"/>
    <hyperlink r:id="rId122" ref="L33"/>
    <hyperlink r:id="rId123" ref="N33"/>
    <hyperlink r:id="rId124" ref="O33"/>
    <hyperlink r:id="rId125" ref="P33"/>
    <hyperlink r:id="rId126" ref="F34"/>
    <hyperlink r:id="rId127" ref="L34"/>
    <hyperlink r:id="rId128" ref="N34"/>
    <hyperlink r:id="rId129" ref="O34"/>
    <hyperlink r:id="rId130" ref="P34"/>
    <hyperlink r:id="rId131" ref="F35"/>
    <hyperlink r:id="rId132" ref="N35"/>
    <hyperlink r:id="rId133" ref="O35"/>
    <hyperlink r:id="rId134" ref="P35"/>
    <hyperlink r:id="rId135" ref="L36"/>
    <hyperlink r:id="rId136" ref="N36"/>
    <hyperlink r:id="rId137" ref="O36"/>
    <hyperlink r:id="rId138" ref="P36"/>
    <hyperlink r:id="rId139" ref="L37"/>
    <hyperlink r:id="rId140" ref="N37"/>
    <hyperlink r:id="rId141" ref="O37"/>
    <hyperlink r:id="rId142" ref="P37"/>
    <hyperlink r:id="rId143" ref="F38"/>
    <hyperlink r:id="rId144" ref="L38"/>
    <hyperlink r:id="rId145" ref="N38"/>
    <hyperlink r:id="rId146" ref="O38"/>
    <hyperlink r:id="rId147" ref="P38"/>
    <hyperlink r:id="rId148" ref="F39"/>
    <hyperlink r:id="rId149" ref="L39"/>
    <hyperlink r:id="rId150" ref="N39"/>
    <hyperlink r:id="rId151" ref="O39"/>
    <hyperlink r:id="rId152" ref="P39"/>
    <hyperlink r:id="rId153" ref="N40"/>
    <hyperlink r:id="rId154" ref="O40"/>
    <hyperlink r:id="rId155" ref="P40"/>
    <hyperlink r:id="rId156" ref="N41"/>
    <hyperlink r:id="rId157" ref="O41"/>
    <hyperlink r:id="rId158" ref="P41"/>
    <hyperlink r:id="rId159" ref="F42"/>
    <hyperlink r:id="rId160" ref="L42"/>
    <hyperlink r:id="rId161" ref="N42"/>
    <hyperlink r:id="rId162" ref="O42"/>
    <hyperlink r:id="rId163" ref="P42"/>
    <hyperlink r:id="rId164" ref="L43"/>
    <hyperlink r:id="rId165" ref="N43"/>
    <hyperlink r:id="rId166" ref="O43"/>
    <hyperlink r:id="rId167" ref="P43"/>
    <hyperlink r:id="rId168" ref="F44"/>
    <hyperlink r:id="rId169" ref="L44"/>
    <hyperlink r:id="rId170" ref="N44"/>
    <hyperlink r:id="rId171" ref="O44"/>
    <hyperlink r:id="rId172" ref="P44"/>
    <hyperlink r:id="rId173" ref="F45"/>
    <hyperlink r:id="rId174" ref="L45"/>
    <hyperlink r:id="rId175" ref="N45"/>
    <hyperlink r:id="rId176" ref="O45"/>
    <hyperlink r:id="rId177" ref="P45"/>
    <hyperlink r:id="rId178" ref="F49"/>
    <hyperlink r:id="rId179" ref="N49"/>
    <hyperlink r:id="rId180" ref="O49"/>
    <hyperlink r:id="rId181" ref="P49"/>
    <hyperlink r:id="rId182" ref="F50"/>
    <hyperlink r:id="rId183" ref="N50"/>
    <hyperlink r:id="rId184" ref="O50"/>
    <hyperlink r:id="rId185" ref="P50"/>
    <hyperlink r:id="rId186" ref="N53"/>
    <hyperlink r:id="rId187" ref="N55"/>
    <hyperlink r:id="rId188" ref="O55"/>
    <hyperlink r:id="rId189" ref="P55"/>
    <hyperlink r:id="rId190" ref="N56"/>
    <hyperlink r:id="rId191" ref="O56"/>
    <hyperlink r:id="rId192" ref="P56"/>
    <hyperlink r:id="rId193" ref="F57"/>
    <hyperlink r:id="rId194" ref="L57"/>
    <hyperlink r:id="rId195" ref="N57"/>
    <hyperlink r:id="rId196" ref="O57"/>
    <hyperlink r:id="rId197" ref="P57"/>
    <hyperlink r:id="rId198" ref="F58"/>
    <hyperlink r:id="rId199" ref="N58"/>
    <hyperlink r:id="rId200" ref="O58"/>
    <hyperlink r:id="rId201" ref="P58"/>
    <hyperlink r:id="rId202" ref="F59"/>
    <hyperlink r:id="rId203" ref="N59"/>
    <hyperlink r:id="rId204" ref="O59"/>
    <hyperlink r:id="rId205" ref="P59"/>
    <hyperlink r:id="rId206" ref="N60"/>
    <hyperlink r:id="rId207" ref="O60"/>
    <hyperlink r:id="rId208" ref="N61"/>
    <hyperlink r:id="rId209" ref="O61"/>
    <hyperlink r:id="rId210" ref="F62"/>
    <hyperlink r:id="rId211" ref="N62"/>
    <hyperlink r:id="rId212" ref="O62"/>
    <hyperlink r:id="rId213" ref="P62"/>
    <hyperlink r:id="rId214" ref="N63"/>
    <hyperlink r:id="rId215" ref="O63"/>
    <hyperlink r:id="rId216" ref="P63"/>
    <hyperlink r:id="rId217" ref="N64"/>
    <hyperlink r:id="rId218" ref="O64"/>
    <hyperlink r:id="rId219" ref="P64"/>
    <hyperlink r:id="rId220" ref="N66"/>
    <hyperlink r:id="rId221" ref="O66"/>
    <hyperlink r:id="rId222" ref="P66"/>
    <hyperlink r:id="rId223" ref="N67"/>
    <hyperlink r:id="rId224" ref="O67"/>
    <hyperlink r:id="rId225" ref="P67"/>
    <hyperlink r:id="rId226" ref="N68"/>
    <hyperlink r:id="rId227" ref="O68"/>
    <hyperlink r:id="rId228" ref="P68"/>
    <hyperlink r:id="rId229" ref="F69"/>
    <hyperlink r:id="rId230" ref="N69"/>
    <hyperlink r:id="rId231" ref="O69"/>
    <hyperlink r:id="rId232" ref="P69"/>
    <hyperlink r:id="rId233" ref="N70"/>
    <hyperlink r:id="rId234" ref="O70"/>
    <hyperlink r:id="rId235" ref="P70"/>
    <hyperlink r:id="rId236" ref="N71"/>
    <hyperlink r:id="rId237" ref="O71"/>
    <hyperlink r:id="rId238" ref="P71"/>
    <hyperlink r:id="rId239" ref="N72"/>
    <hyperlink r:id="rId240" ref="O72"/>
    <hyperlink r:id="rId241" ref="P72"/>
    <hyperlink r:id="rId242" ref="N74"/>
    <hyperlink r:id="rId243" ref="O74"/>
    <hyperlink r:id="rId244" ref="P74"/>
    <hyperlink r:id="rId245" ref="N75"/>
    <hyperlink r:id="rId246" ref="O75"/>
    <hyperlink r:id="rId247" ref="F76"/>
    <hyperlink r:id="rId248" ref="N76"/>
    <hyperlink r:id="rId249" ref="F77"/>
    <hyperlink r:id="rId250" ref="N77"/>
    <hyperlink r:id="rId251" ref="O77"/>
    <hyperlink r:id="rId252" ref="P77"/>
    <hyperlink r:id="rId253" ref="N78"/>
    <hyperlink r:id="rId254" ref="O78"/>
    <hyperlink r:id="rId255" ref="N79"/>
    <hyperlink r:id="rId256" ref="O79"/>
    <hyperlink r:id="rId257" ref="N80"/>
    <hyperlink r:id="rId258" ref="O80"/>
    <hyperlink r:id="rId259" ref="P80"/>
    <hyperlink r:id="rId260" ref="N81"/>
    <hyperlink r:id="rId261" ref="O81"/>
    <hyperlink r:id="rId262" ref="P81"/>
    <hyperlink r:id="rId263" ref="F82"/>
    <hyperlink r:id="rId264" ref="N82"/>
    <hyperlink r:id="rId265" ref="O82"/>
    <hyperlink r:id="rId266" ref="P82"/>
    <hyperlink r:id="rId267" ref="F83"/>
    <hyperlink r:id="rId268" ref="N83"/>
    <hyperlink r:id="rId269" ref="O83"/>
    <hyperlink r:id="rId270" ref="P83"/>
    <hyperlink r:id="rId271" ref="F84"/>
    <hyperlink r:id="rId272" ref="N84"/>
    <hyperlink r:id="rId273" ref="O84"/>
    <hyperlink r:id="rId274" ref="P84"/>
    <hyperlink r:id="rId275" ref="N85"/>
    <hyperlink r:id="rId276" ref="O85"/>
    <hyperlink r:id="rId277" ref="F86"/>
    <hyperlink r:id="rId278" ref="N86"/>
    <hyperlink r:id="rId279" ref="O86"/>
    <hyperlink r:id="rId280" ref="P86"/>
    <hyperlink r:id="rId281" ref="F87"/>
    <hyperlink r:id="rId282" ref="N87"/>
    <hyperlink r:id="rId283" ref="O87"/>
    <hyperlink r:id="rId284" ref="P87"/>
    <hyperlink r:id="rId285" ref="F89"/>
    <hyperlink r:id="rId286" ref="N89"/>
    <hyperlink r:id="rId287" ref="O89"/>
    <hyperlink r:id="rId288" ref="P89"/>
    <hyperlink r:id="rId289" ref="F90"/>
    <hyperlink r:id="rId290" ref="N90"/>
    <hyperlink r:id="rId291" ref="O90"/>
    <hyperlink r:id="rId292" ref="F91"/>
    <hyperlink r:id="rId293" ref="N91"/>
    <hyperlink r:id="rId294" ref="O91"/>
    <hyperlink r:id="rId295" ref="P91"/>
    <hyperlink r:id="rId296" ref="F92"/>
    <hyperlink r:id="rId297" ref="N92"/>
    <hyperlink r:id="rId298" ref="O92"/>
    <hyperlink r:id="rId299" ref="P92"/>
    <hyperlink r:id="rId300" ref="F93"/>
    <hyperlink r:id="rId301" ref="F94"/>
    <hyperlink r:id="rId302" ref="N94"/>
    <hyperlink r:id="rId303" ref="O94"/>
    <hyperlink r:id="rId304" ref="P94"/>
    <hyperlink r:id="rId305" ref="F95"/>
    <hyperlink r:id="rId306" ref="N95"/>
    <hyperlink r:id="rId307" ref="O95"/>
    <hyperlink r:id="rId308" ref="P95"/>
    <hyperlink r:id="rId309" ref="N96"/>
    <hyperlink r:id="rId310" ref="O96"/>
    <hyperlink r:id="rId311" ref="P96"/>
    <hyperlink r:id="rId312" ref="N97"/>
    <hyperlink r:id="rId313" ref="O97"/>
    <hyperlink r:id="rId314" ref="F98"/>
    <hyperlink r:id="rId315" ref="L98"/>
    <hyperlink r:id="rId316" ref="N98"/>
    <hyperlink r:id="rId317" ref="O98"/>
    <hyperlink r:id="rId318" ref="P98"/>
    <hyperlink r:id="rId319" ref="F99"/>
    <hyperlink r:id="rId320" ref="L99"/>
    <hyperlink r:id="rId321" ref="N99"/>
    <hyperlink r:id="rId322" ref="O99"/>
    <hyperlink r:id="rId323" ref="P99"/>
    <hyperlink r:id="rId324" ref="N100"/>
    <hyperlink r:id="rId325" ref="O100"/>
    <hyperlink r:id="rId326" ref="P100"/>
    <hyperlink r:id="rId327" ref="N101"/>
    <hyperlink r:id="rId328" ref="O101"/>
    <hyperlink r:id="rId329" ref="P101"/>
    <hyperlink r:id="rId330" ref="N102"/>
    <hyperlink r:id="rId331" ref="O102"/>
    <hyperlink r:id="rId332" ref="P102"/>
    <hyperlink r:id="rId333" ref="F104"/>
    <hyperlink r:id="rId334" ref="L104"/>
    <hyperlink r:id="rId335" ref="N104"/>
    <hyperlink r:id="rId336" ref="O104"/>
    <hyperlink r:id="rId337" ref="N105"/>
    <hyperlink r:id="rId338" ref="O105"/>
    <hyperlink r:id="rId339" ref="F106"/>
    <hyperlink r:id="rId340" ref="N106"/>
    <hyperlink r:id="rId341" ref="O106"/>
    <hyperlink r:id="rId342" ref="F107"/>
    <hyperlink r:id="rId343" ref="N107"/>
    <hyperlink r:id="rId344" ref="O107"/>
    <hyperlink r:id="rId345" ref="F108"/>
    <hyperlink r:id="rId346" ref="L108"/>
    <hyperlink r:id="rId347" ref="N108"/>
    <hyperlink r:id="rId348" ref="O108"/>
    <hyperlink r:id="rId349" ref="F109"/>
    <hyperlink r:id="rId350" ref="N109"/>
    <hyperlink r:id="rId351" ref="O109"/>
    <hyperlink r:id="rId352" ref="F110"/>
    <hyperlink r:id="rId353" ref="L110"/>
    <hyperlink r:id="rId354" ref="N110"/>
    <hyperlink r:id="rId355" ref="O110"/>
    <hyperlink r:id="rId356" ref="F111"/>
    <hyperlink r:id="rId357" ref="L111"/>
    <hyperlink r:id="rId358" ref="N111"/>
    <hyperlink r:id="rId359" ref="O111"/>
    <hyperlink r:id="rId360" ref="N112"/>
    <hyperlink r:id="rId361" ref="F113"/>
    <hyperlink r:id="rId362" ref="L113"/>
    <hyperlink r:id="rId363" ref="N113"/>
    <hyperlink r:id="rId364" ref="O113"/>
    <hyperlink r:id="rId365" ref="F114"/>
    <hyperlink r:id="rId366" ref="L114"/>
    <hyperlink r:id="rId367" ref="N114"/>
    <hyperlink r:id="rId368" ref="N115"/>
    <hyperlink r:id="rId369" ref="O115"/>
    <hyperlink r:id="rId370" ref="F116"/>
    <hyperlink r:id="rId371" ref="N116"/>
    <hyperlink r:id="rId372" ref="O116"/>
    <hyperlink r:id="rId373" ref="N117"/>
    <hyperlink r:id="rId374" ref="O117"/>
    <hyperlink r:id="rId375" ref="F118"/>
    <hyperlink r:id="rId376" ref="L118"/>
    <hyperlink r:id="rId377" ref="N118"/>
    <hyperlink r:id="rId378" ref="O118"/>
    <hyperlink r:id="rId379" ref="F119"/>
    <hyperlink r:id="rId380" ref="L119"/>
    <hyperlink r:id="rId381" ref="N119"/>
    <hyperlink r:id="rId382" ref="O119"/>
    <hyperlink r:id="rId383" ref="F120"/>
    <hyperlink r:id="rId384" ref="L120"/>
    <hyperlink r:id="rId385" ref="N120"/>
    <hyperlink r:id="rId386" ref="O120"/>
    <hyperlink r:id="rId387" ref="F121"/>
    <hyperlink r:id="rId388" ref="N121"/>
    <hyperlink r:id="rId389" ref="O121"/>
    <hyperlink r:id="rId390" ref="L122"/>
    <hyperlink r:id="rId391" ref="N122"/>
    <hyperlink r:id="rId392" ref="O122"/>
    <hyperlink r:id="rId393" ref="F123"/>
    <hyperlink r:id="rId394" ref="N123"/>
    <hyperlink r:id="rId395" ref="O123"/>
    <hyperlink r:id="rId396" ref="P123"/>
    <hyperlink r:id="rId397" ref="L124"/>
    <hyperlink r:id="rId398" ref="N124"/>
    <hyperlink r:id="rId399" ref="O124"/>
    <hyperlink r:id="rId400" ref="P124"/>
    <hyperlink r:id="rId401" ref="L125"/>
    <hyperlink r:id="rId402" ref="N125"/>
    <hyperlink r:id="rId403" ref="O125"/>
    <hyperlink r:id="rId404" ref="P125"/>
    <hyperlink r:id="rId405" ref="L126"/>
    <hyperlink r:id="rId406" ref="N126"/>
    <hyperlink r:id="rId407" ref="O126"/>
    <hyperlink r:id="rId408" ref="P126"/>
    <hyperlink r:id="rId409" ref="L127"/>
    <hyperlink r:id="rId410" ref="N127"/>
    <hyperlink r:id="rId411" ref="O127"/>
    <hyperlink r:id="rId412" ref="P127"/>
    <hyperlink r:id="rId413" ref="L128"/>
    <hyperlink r:id="rId414" ref="N128"/>
    <hyperlink r:id="rId415" ref="O128"/>
    <hyperlink r:id="rId416" ref="L130"/>
    <hyperlink r:id="rId417" ref="N130"/>
    <hyperlink r:id="rId418" ref="O130"/>
    <hyperlink r:id="rId419" ref="P130"/>
    <hyperlink r:id="rId420" ref="N131"/>
    <hyperlink r:id="rId421" ref="O131"/>
    <hyperlink r:id="rId422" ref="P131"/>
    <hyperlink r:id="rId423" ref="N132"/>
    <hyperlink r:id="rId424" ref="N144"/>
    <hyperlink r:id="rId425" ref="O144"/>
    <hyperlink r:id="rId426" ref="P144"/>
    <hyperlink r:id="rId427" ref="N145"/>
    <hyperlink r:id="rId428" ref="O145"/>
    <hyperlink r:id="rId429" ref="P145"/>
    <hyperlink r:id="rId430" ref="F146"/>
    <hyperlink r:id="rId431" ref="L146"/>
    <hyperlink r:id="rId432" ref="N146"/>
    <hyperlink r:id="rId433" ref="O146"/>
    <hyperlink r:id="rId434" ref="N148"/>
    <hyperlink r:id="rId435" ref="O148"/>
    <hyperlink r:id="rId436" ref="F149"/>
    <hyperlink r:id="rId437" ref="L149"/>
    <hyperlink r:id="rId438" ref="N149"/>
    <hyperlink r:id="rId439" ref="O149"/>
    <hyperlink r:id="rId440" ref="L150"/>
    <hyperlink r:id="rId441" ref="N150"/>
    <hyperlink r:id="rId442" ref="O150"/>
    <hyperlink r:id="rId443" ref="F151"/>
    <hyperlink r:id="rId444" ref="L151"/>
    <hyperlink r:id="rId445" ref="N151"/>
    <hyperlink r:id="rId446" ref="O151"/>
    <hyperlink r:id="rId447" ref="F152"/>
    <hyperlink r:id="rId448" ref="L152"/>
    <hyperlink r:id="rId449" ref="N152"/>
    <hyperlink r:id="rId450" ref="O152"/>
    <hyperlink r:id="rId451" ref="F153"/>
    <hyperlink r:id="rId452" ref="N153"/>
    <hyperlink r:id="rId453" ref="O153"/>
    <hyperlink r:id="rId454" ref="F154"/>
    <hyperlink r:id="rId455" ref="N154"/>
    <hyperlink r:id="rId456" ref="O154"/>
    <hyperlink r:id="rId457" ref="F155"/>
    <hyperlink r:id="rId458" ref="L155"/>
    <hyperlink r:id="rId459" ref="N155"/>
    <hyperlink r:id="rId460" ref="O155"/>
    <hyperlink r:id="rId461" ref="N156"/>
    <hyperlink r:id="rId462" ref="O156"/>
    <hyperlink r:id="rId463" ref="P156"/>
    <hyperlink r:id="rId464" ref="F157"/>
    <hyperlink r:id="rId465" ref="L157"/>
    <hyperlink r:id="rId466" ref="N157"/>
    <hyperlink r:id="rId467" ref="O157"/>
    <hyperlink r:id="rId468" ref="F158"/>
    <hyperlink r:id="rId469" ref="N158"/>
    <hyperlink r:id="rId470" ref="O158"/>
    <hyperlink r:id="rId471" ref="N159"/>
    <hyperlink r:id="rId472" ref="O159"/>
  </hyperlinks>
  <printOptions/>
  <pageMargins bottom="0.0" footer="0.0" header="0.0" left="0.0" right="0.0" top="0.0"/>
  <pageSetup orientation="portrait"/>
  <drawing r:id="rId473"/>
  <legacyDrawing r:id="rId474"/>
  <tableParts count="2">
    <tablePart r:id="rId477"/>
    <tablePart r:id="rId47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48.63"/>
    <col customWidth="1" min="3" max="3" width="37.5"/>
    <col customWidth="1" min="4" max="4" width="19.5"/>
    <col customWidth="1" min="5" max="5" width="35.38"/>
    <col customWidth="1" min="6" max="26" width="12.5"/>
  </cols>
  <sheetData>
    <row r="1" ht="20.25" customHeight="1">
      <c r="A1" s="7" t="s">
        <v>1</v>
      </c>
      <c r="B1" s="7" t="s">
        <v>17</v>
      </c>
      <c r="C1" s="7" t="s">
        <v>18</v>
      </c>
      <c r="D1" s="7" t="s">
        <v>19</v>
      </c>
      <c r="E1" s="7" t="s">
        <v>11</v>
      </c>
      <c r="F1" s="7" t="s">
        <v>21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0.25" customHeight="1">
      <c r="A2" s="18" t="s">
        <v>30</v>
      </c>
      <c r="B2" s="18" t="s">
        <v>31</v>
      </c>
      <c r="C2" s="21" t="s">
        <v>32</v>
      </c>
      <c r="D2" s="23" t="s">
        <v>34</v>
      </c>
      <c r="E2" s="18" t="s">
        <v>35</v>
      </c>
      <c r="F2" s="18" t="s">
        <v>36</v>
      </c>
    </row>
    <row r="3" ht="20.25" customHeight="1">
      <c r="A3" s="18" t="s">
        <v>37</v>
      </c>
      <c r="B3" s="18" t="s">
        <v>31</v>
      </c>
      <c r="C3" s="21" t="s">
        <v>39</v>
      </c>
      <c r="D3" s="23" t="s">
        <v>40</v>
      </c>
      <c r="E3" s="18" t="s">
        <v>41</v>
      </c>
      <c r="F3" s="18" t="s">
        <v>42</v>
      </c>
    </row>
    <row r="4" ht="20.25" customHeight="1">
      <c r="A4" s="18" t="s">
        <v>43</v>
      </c>
      <c r="B4" s="18" t="s">
        <v>31</v>
      </c>
      <c r="C4" s="32" t="s">
        <v>45</v>
      </c>
      <c r="D4" s="23" t="s">
        <v>47</v>
      </c>
      <c r="E4" s="18" t="s">
        <v>49</v>
      </c>
      <c r="F4" s="18" t="s">
        <v>42</v>
      </c>
    </row>
    <row r="5" ht="20.25" customHeight="1">
      <c r="A5" s="18" t="s">
        <v>52</v>
      </c>
      <c r="B5" s="18" t="s">
        <v>54</v>
      </c>
      <c r="C5" s="21" t="s">
        <v>56</v>
      </c>
      <c r="D5" s="23" t="s">
        <v>57</v>
      </c>
      <c r="E5" s="18" t="s">
        <v>59</v>
      </c>
      <c r="F5" s="18" t="s">
        <v>60</v>
      </c>
    </row>
    <row r="6" ht="20.25" customHeight="1">
      <c r="A6" s="18" t="s">
        <v>61</v>
      </c>
      <c r="B6" s="18" t="s">
        <v>63</v>
      </c>
      <c r="C6" s="21" t="s">
        <v>64</v>
      </c>
      <c r="D6" s="23" t="s">
        <v>65</v>
      </c>
      <c r="E6" s="18" t="s">
        <v>66</v>
      </c>
      <c r="F6" s="18" t="s">
        <v>36</v>
      </c>
    </row>
    <row r="7" ht="20.25" customHeight="1">
      <c r="A7" s="18" t="s">
        <v>68</v>
      </c>
      <c r="B7" s="18" t="s">
        <v>54</v>
      </c>
      <c r="C7" s="18" t="s">
        <v>70</v>
      </c>
      <c r="D7" s="23" t="s">
        <v>71</v>
      </c>
      <c r="E7" s="18" t="s">
        <v>73</v>
      </c>
      <c r="F7" s="18" t="s">
        <v>60</v>
      </c>
    </row>
    <row r="8" ht="20.25" customHeight="1">
      <c r="A8" s="18" t="s">
        <v>76</v>
      </c>
      <c r="B8" s="18" t="s">
        <v>77</v>
      </c>
      <c r="C8" s="18" t="s">
        <v>78</v>
      </c>
      <c r="D8" s="23" t="s">
        <v>79</v>
      </c>
      <c r="E8" s="48" t="s">
        <v>80</v>
      </c>
      <c r="F8" s="18" t="s">
        <v>36</v>
      </c>
    </row>
    <row r="9" ht="20.25" customHeight="1">
      <c r="A9" s="12"/>
      <c r="B9" s="12"/>
      <c r="C9" s="12"/>
      <c r="D9" s="12"/>
      <c r="E9" s="50"/>
      <c r="F9" s="12"/>
    </row>
    <row r="10" ht="20.25" customHeight="1">
      <c r="D10" s="51"/>
    </row>
    <row r="11" ht="20.25" customHeight="1">
      <c r="D11" s="51"/>
    </row>
    <row r="12" ht="20.25" customHeight="1">
      <c r="D12" s="51"/>
    </row>
    <row r="13" ht="20.25" customHeight="1">
      <c r="D13" s="51"/>
    </row>
    <row r="14" ht="20.25" customHeight="1">
      <c r="D14" s="51"/>
    </row>
    <row r="15" ht="20.25" customHeight="1">
      <c r="D15" s="51"/>
    </row>
    <row r="16" ht="20.25" customHeight="1">
      <c r="D16" s="51"/>
    </row>
    <row r="17" ht="20.25" customHeight="1">
      <c r="D17" s="51"/>
    </row>
    <row r="18" ht="20.25" customHeight="1">
      <c r="D18" s="51"/>
    </row>
    <row r="19" ht="20.25" customHeight="1">
      <c r="D19" s="51"/>
    </row>
    <row r="20" ht="20.25" customHeight="1">
      <c r="D20" s="51"/>
    </row>
    <row r="21" ht="20.25" customHeight="1">
      <c r="D21" s="51"/>
    </row>
    <row r="22" ht="20.25" customHeight="1">
      <c r="D22" s="51"/>
    </row>
    <row r="23" ht="20.25" customHeight="1">
      <c r="D23" s="51"/>
    </row>
    <row r="24" ht="20.25" customHeight="1">
      <c r="D24" s="51"/>
    </row>
    <row r="25" ht="20.25" customHeight="1">
      <c r="D25" s="51"/>
    </row>
    <row r="26" ht="20.25" customHeight="1">
      <c r="D26" s="51"/>
    </row>
    <row r="27" ht="20.25" customHeight="1">
      <c r="D27" s="51"/>
    </row>
    <row r="28" ht="20.25" customHeight="1">
      <c r="D28" s="51"/>
    </row>
    <row r="29" ht="20.25" customHeight="1">
      <c r="D29" s="51"/>
    </row>
    <row r="30" ht="20.25" customHeight="1">
      <c r="D30" s="51"/>
    </row>
    <row r="31" ht="20.25" customHeight="1">
      <c r="D31" s="51"/>
    </row>
    <row r="32" ht="20.25" customHeight="1">
      <c r="D32" s="51"/>
    </row>
    <row r="33" ht="20.25" customHeight="1">
      <c r="D33" s="51"/>
    </row>
    <row r="34" ht="20.25" customHeight="1">
      <c r="D34" s="51"/>
    </row>
    <row r="35" ht="20.25" customHeight="1">
      <c r="D35" s="51"/>
    </row>
    <row r="36" ht="20.25" customHeight="1">
      <c r="D36" s="51"/>
    </row>
    <row r="37" ht="20.25" customHeight="1">
      <c r="D37" s="51"/>
    </row>
    <row r="38" ht="20.25" customHeight="1">
      <c r="D38" s="51"/>
    </row>
    <row r="39" ht="20.25" customHeight="1">
      <c r="D39" s="51"/>
    </row>
    <row r="40" ht="20.25" customHeight="1">
      <c r="D40" s="51"/>
    </row>
    <row r="41" ht="20.25" customHeight="1">
      <c r="D41" s="51"/>
    </row>
    <row r="42" ht="20.25" customHeight="1">
      <c r="D42" s="51"/>
    </row>
    <row r="43" ht="20.25" customHeight="1">
      <c r="D43" s="51"/>
    </row>
    <row r="44" ht="20.25" customHeight="1">
      <c r="D44" s="51"/>
    </row>
    <row r="45" ht="20.25" customHeight="1">
      <c r="D45" s="51"/>
    </row>
    <row r="46" ht="20.25" customHeight="1">
      <c r="D46" s="51"/>
    </row>
    <row r="47" ht="20.25" customHeight="1">
      <c r="D47" s="51"/>
    </row>
    <row r="48" ht="20.25" customHeight="1">
      <c r="D48" s="51"/>
    </row>
    <row r="49" ht="20.25" customHeight="1">
      <c r="D49" s="51"/>
    </row>
    <row r="50" ht="20.25" customHeight="1">
      <c r="D50" s="51"/>
    </row>
    <row r="51" ht="20.25" customHeight="1">
      <c r="D51" s="51"/>
    </row>
    <row r="52" ht="20.25" customHeight="1">
      <c r="D52" s="51"/>
    </row>
    <row r="53" ht="20.25" customHeight="1">
      <c r="D53" s="51"/>
    </row>
    <row r="54" ht="20.25" customHeight="1">
      <c r="D54" s="51"/>
    </row>
    <row r="55" ht="20.25" customHeight="1">
      <c r="D55" s="51"/>
    </row>
    <row r="56" ht="20.25" customHeight="1">
      <c r="D56" s="51"/>
    </row>
    <row r="57" ht="20.25" customHeight="1">
      <c r="D57" s="51"/>
    </row>
    <row r="58" ht="20.25" customHeight="1">
      <c r="D58" s="51"/>
    </row>
    <row r="59" ht="20.25" customHeight="1">
      <c r="D59" s="51"/>
    </row>
    <row r="60" ht="20.25" customHeight="1">
      <c r="D60" s="51"/>
    </row>
    <row r="61" ht="20.25" customHeight="1">
      <c r="D61" s="51"/>
    </row>
    <row r="62" ht="20.25" customHeight="1">
      <c r="D62" s="51"/>
    </row>
    <row r="63" ht="20.25" customHeight="1">
      <c r="D63" s="51"/>
    </row>
    <row r="64" ht="20.25" customHeight="1">
      <c r="D64" s="51"/>
    </row>
    <row r="65" ht="20.25" customHeight="1">
      <c r="D65" s="51"/>
    </row>
    <row r="66" ht="20.25" customHeight="1">
      <c r="D66" s="51"/>
    </row>
    <row r="67" ht="20.25" customHeight="1">
      <c r="D67" s="51"/>
    </row>
    <row r="68" ht="20.25" customHeight="1">
      <c r="D68" s="51"/>
    </row>
    <row r="69" ht="20.25" customHeight="1">
      <c r="D69" s="51"/>
    </row>
    <row r="70" ht="20.25" customHeight="1">
      <c r="D70" s="51"/>
    </row>
    <row r="71" ht="20.25" customHeight="1">
      <c r="D71" s="51"/>
    </row>
    <row r="72" ht="20.25" customHeight="1">
      <c r="D72" s="51"/>
    </row>
    <row r="73" ht="20.25" customHeight="1">
      <c r="D73" s="51"/>
    </row>
    <row r="74" ht="20.25" customHeight="1">
      <c r="D74" s="51"/>
    </row>
    <row r="75" ht="20.25" customHeight="1">
      <c r="D75" s="51"/>
    </row>
    <row r="76" ht="20.25" customHeight="1">
      <c r="D76" s="51"/>
    </row>
    <row r="77" ht="20.25" customHeight="1">
      <c r="D77" s="51"/>
    </row>
    <row r="78" ht="20.25" customHeight="1">
      <c r="D78" s="51"/>
    </row>
    <row r="79" ht="20.25" customHeight="1">
      <c r="D79" s="51"/>
    </row>
    <row r="80" ht="20.25" customHeight="1">
      <c r="D80" s="51"/>
    </row>
    <row r="81" ht="20.25" customHeight="1">
      <c r="D81" s="51"/>
    </row>
    <row r="82" ht="20.25" customHeight="1">
      <c r="D82" s="51"/>
    </row>
    <row r="83" ht="20.25" customHeight="1">
      <c r="D83" s="51"/>
    </row>
    <row r="84" ht="20.25" customHeight="1">
      <c r="D84" s="51"/>
    </row>
    <row r="85" ht="20.25" customHeight="1">
      <c r="D85" s="51"/>
    </row>
    <row r="86" ht="20.25" customHeight="1">
      <c r="D86" s="51"/>
    </row>
    <row r="87" ht="20.25" customHeight="1">
      <c r="D87" s="51"/>
    </row>
    <row r="88" ht="20.25" customHeight="1">
      <c r="D88" s="51"/>
    </row>
    <row r="89" ht="20.25" customHeight="1">
      <c r="D89" s="51"/>
    </row>
    <row r="90" ht="20.25" customHeight="1">
      <c r="D90" s="51"/>
    </row>
    <row r="91" ht="20.25" customHeight="1">
      <c r="D91" s="51"/>
    </row>
    <row r="92" ht="20.25" customHeight="1">
      <c r="D92" s="51"/>
    </row>
    <row r="93" ht="20.25" customHeight="1">
      <c r="D93" s="51"/>
    </row>
    <row r="94" ht="20.25" customHeight="1">
      <c r="D94" s="51"/>
    </row>
    <row r="95" ht="20.25" customHeight="1">
      <c r="D95" s="51"/>
    </row>
    <row r="96" ht="20.25" customHeight="1">
      <c r="D96" s="51"/>
    </row>
    <row r="97" ht="20.25" customHeight="1">
      <c r="D97" s="51"/>
    </row>
    <row r="98" ht="20.25" customHeight="1">
      <c r="D98" s="51"/>
    </row>
    <row r="99" ht="20.25" customHeight="1">
      <c r="D99" s="51"/>
    </row>
    <row r="100" ht="20.25" customHeight="1">
      <c r="D100" s="51"/>
    </row>
    <row r="101" ht="20.25" customHeight="1">
      <c r="D101" s="51"/>
    </row>
    <row r="102" ht="20.25" customHeight="1">
      <c r="D102" s="51"/>
    </row>
    <row r="103" ht="20.25" customHeight="1">
      <c r="D103" s="51"/>
    </row>
    <row r="104" ht="20.25" customHeight="1">
      <c r="D104" s="51"/>
    </row>
    <row r="105" ht="20.25" customHeight="1">
      <c r="D105" s="51"/>
    </row>
    <row r="106" ht="20.25" customHeight="1">
      <c r="D106" s="51"/>
    </row>
    <row r="107" ht="20.25" customHeight="1">
      <c r="D107" s="51"/>
    </row>
    <row r="108" ht="20.25" customHeight="1">
      <c r="D108" s="51"/>
    </row>
    <row r="109" ht="20.25" customHeight="1">
      <c r="D109" s="51"/>
    </row>
    <row r="110" ht="20.25" customHeight="1">
      <c r="D110" s="51"/>
    </row>
    <row r="111" ht="20.25" customHeight="1">
      <c r="D111" s="51"/>
    </row>
    <row r="112" ht="20.25" customHeight="1">
      <c r="D112" s="51"/>
    </row>
    <row r="113" ht="20.25" customHeight="1">
      <c r="D113" s="51"/>
    </row>
    <row r="114" ht="20.25" customHeight="1">
      <c r="D114" s="51"/>
    </row>
    <row r="115" ht="20.25" customHeight="1">
      <c r="D115" s="51"/>
    </row>
    <row r="116" ht="20.25" customHeight="1">
      <c r="D116" s="51"/>
    </row>
    <row r="117" ht="20.25" customHeight="1">
      <c r="D117" s="51"/>
    </row>
    <row r="118" ht="20.25" customHeight="1">
      <c r="D118" s="51"/>
    </row>
    <row r="119" ht="20.25" customHeight="1">
      <c r="D119" s="51"/>
    </row>
    <row r="120" ht="20.25" customHeight="1">
      <c r="D120" s="51"/>
    </row>
    <row r="121" ht="20.25" customHeight="1">
      <c r="D121" s="51"/>
    </row>
    <row r="122" ht="20.25" customHeight="1">
      <c r="D122" s="51"/>
    </row>
    <row r="123" ht="20.25" customHeight="1">
      <c r="D123" s="51"/>
    </row>
    <row r="124" ht="20.25" customHeight="1">
      <c r="D124" s="51"/>
    </row>
    <row r="125" ht="20.25" customHeight="1">
      <c r="D125" s="51"/>
    </row>
    <row r="126" ht="20.25" customHeight="1">
      <c r="D126" s="51"/>
    </row>
    <row r="127" ht="20.25" customHeight="1">
      <c r="D127" s="51"/>
    </row>
    <row r="128" ht="20.25" customHeight="1">
      <c r="D128" s="51"/>
    </row>
    <row r="129" ht="20.25" customHeight="1">
      <c r="D129" s="51"/>
    </row>
    <row r="130" ht="20.25" customHeight="1">
      <c r="D130" s="51"/>
    </row>
    <row r="131" ht="20.25" customHeight="1">
      <c r="D131" s="51"/>
    </row>
    <row r="132" ht="20.25" customHeight="1">
      <c r="D132" s="51"/>
    </row>
    <row r="133" ht="20.25" customHeight="1">
      <c r="D133" s="51"/>
    </row>
    <row r="134" ht="20.25" customHeight="1">
      <c r="D134" s="51"/>
    </row>
    <row r="135" ht="20.25" customHeight="1">
      <c r="D135" s="51"/>
    </row>
    <row r="136" ht="20.25" customHeight="1">
      <c r="D136" s="51"/>
    </row>
    <row r="137" ht="20.25" customHeight="1">
      <c r="D137" s="51"/>
    </row>
    <row r="138" ht="20.25" customHeight="1">
      <c r="D138" s="51"/>
    </row>
    <row r="139" ht="20.25" customHeight="1">
      <c r="D139" s="51"/>
    </row>
    <row r="140" ht="20.25" customHeight="1">
      <c r="D140" s="51"/>
    </row>
    <row r="141" ht="20.25" customHeight="1">
      <c r="D141" s="51"/>
    </row>
    <row r="142" ht="20.25" customHeight="1">
      <c r="D142" s="51"/>
    </row>
    <row r="143" ht="20.25" customHeight="1">
      <c r="D143" s="51"/>
    </row>
    <row r="144" ht="20.25" customHeight="1">
      <c r="D144" s="51"/>
    </row>
    <row r="145" ht="20.25" customHeight="1">
      <c r="D145" s="51"/>
    </row>
    <row r="146" ht="20.25" customHeight="1">
      <c r="D146" s="51"/>
    </row>
    <row r="147" ht="20.25" customHeight="1">
      <c r="D147" s="51"/>
    </row>
    <row r="148" ht="20.25" customHeight="1">
      <c r="D148" s="51"/>
    </row>
    <row r="149" ht="20.25" customHeight="1">
      <c r="D149" s="51"/>
    </row>
    <row r="150" ht="20.25" customHeight="1">
      <c r="D150" s="51"/>
    </row>
    <row r="151" ht="20.25" customHeight="1">
      <c r="D151" s="51"/>
    </row>
    <row r="152" ht="20.25" customHeight="1">
      <c r="D152" s="51"/>
    </row>
    <row r="153" ht="20.25" customHeight="1">
      <c r="D153" s="51"/>
    </row>
    <row r="154" ht="20.25" customHeight="1">
      <c r="D154" s="51"/>
    </row>
    <row r="155" ht="20.25" customHeight="1">
      <c r="D155" s="51"/>
    </row>
    <row r="156" ht="20.25" customHeight="1">
      <c r="D156" s="51"/>
    </row>
    <row r="157" ht="20.25" customHeight="1">
      <c r="D157" s="51"/>
    </row>
    <row r="158" ht="20.25" customHeight="1">
      <c r="D158" s="51"/>
    </row>
    <row r="159" ht="20.25" customHeight="1">
      <c r="D159" s="51"/>
    </row>
    <row r="160" ht="20.25" customHeight="1">
      <c r="D160" s="51"/>
    </row>
    <row r="161" ht="20.25" customHeight="1">
      <c r="D161" s="51"/>
    </row>
    <row r="162" ht="20.25" customHeight="1">
      <c r="D162" s="51"/>
    </row>
    <row r="163" ht="20.25" customHeight="1">
      <c r="D163" s="51"/>
    </row>
    <row r="164" ht="20.25" customHeight="1">
      <c r="D164" s="51"/>
    </row>
    <row r="165" ht="20.25" customHeight="1">
      <c r="D165" s="51"/>
    </row>
    <row r="166" ht="20.25" customHeight="1">
      <c r="D166" s="51"/>
    </row>
    <row r="167" ht="20.25" customHeight="1">
      <c r="D167" s="51"/>
    </row>
    <row r="168" ht="20.25" customHeight="1">
      <c r="D168" s="51"/>
    </row>
    <row r="169" ht="20.25" customHeight="1">
      <c r="D169" s="51"/>
    </row>
    <row r="170" ht="20.25" customHeight="1">
      <c r="D170" s="51"/>
    </row>
    <row r="171" ht="20.25" customHeight="1">
      <c r="D171" s="51"/>
    </row>
    <row r="172" ht="20.25" customHeight="1">
      <c r="D172" s="51"/>
    </row>
    <row r="173" ht="20.25" customHeight="1">
      <c r="D173" s="51"/>
    </row>
    <row r="174" ht="20.25" customHeight="1">
      <c r="D174" s="51"/>
    </row>
    <row r="175" ht="20.25" customHeight="1">
      <c r="D175" s="51"/>
    </row>
    <row r="176" ht="20.25" customHeight="1">
      <c r="D176" s="51"/>
    </row>
    <row r="177" ht="20.25" customHeight="1">
      <c r="D177" s="51"/>
    </row>
    <row r="178" ht="20.25" customHeight="1">
      <c r="D178" s="51"/>
    </row>
    <row r="179" ht="20.25" customHeight="1">
      <c r="D179" s="51"/>
    </row>
    <row r="180" ht="20.25" customHeight="1">
      <c r="D180" s="51"/>
    </row>
    <row r="181" ht="20.25" customHeight="1">
      <c r="D181" s="51"/>
    </row>
    <row r="182" ht="20.25" customHeight="1">
      <c r="D182" s="51"/>
    </row>
    <row r="183" ht="20.25" customHeight="1">
      <c r="D183" s="51"/>
    </row>
    <row r="184" ht="20.25" customHeight="1">
      <c r="D184" s="51"/>
    </row>
    <row r="185" ht="20.25" customHeight="1">
      <c r="D185" s="51"/>
    </row>
    <row r="186" ht="20.25" customHeight="1">
      <c r="D186" s="51"/>
    </row>
    <row r="187" ht="20.25" customHeight="1">
      <c r="D187" s="51"/>
    </row>
    <row r="188" ht="20.25" customHeight="1">
      <c r="D188" s="51"/>
    </row>
    <row r="189" ht="20.25" customHeight="1">
      <c r="D189" s="51"/>
    </row>
    <row r="190" ht="20.25" customHeight="1">
      <c r="D190" s="51"/>
    </row>
    <row r="191" ht="20.25" customHeight="1">
      <c r="D191" s="51"/>
    </row>
    <row r="192" ht="20.25" customHeight="1">
      <c r="D192" s="51"/>
    </row>
    <row r="193" ht="20.25" customHeight="1">
      <c r="D193" s="51"/>
    </row>
    <row r="194" ht="20.25" customHeight="1">
      <c r="D194" s="51"/>
    </row>
    <row r="195" ht="20.25" customHeight="1">
      <c r="D195" s="51"/>
    </row>
    <row r="196" ht="20.25" customHeight="1">
      <c r="D196" s="51"/>
    </row>
    <row r="197" ht="20.25" customHeight="1">
      <c r="D197" s="51"/>
    </row>
    <row r="198" ht="20.25" customHeight="1">
      <c r="D198" s="51"/>
    </row>
    <row r="199" ht="20.25" customHeight="1">
      <c r="D199" s="51"/>
    </row>
    <row r="200" ht="20.25" customHeight="1">
      <c r="D200" s="51"/>
    </row>
    <row r="201" ht="20.25" customHeight="1">
      <c r="D201" s="51"/>
    </row>
    <row r="202" ht="20.25" customHeight="1">
      <c r="D202" s="51"/>
    </row>
    <row r="203" ht="20.25" customHeight="1">
      <c r="D203" s="51"/>
    </row>
    <row r="204" ht="20.25" customHeight="1">
      <c r="D204" s="51"/>
    </row>
    <row r="205" ht="20.25" customHeight="1">
      <c r="D205" s="51"/>
    </row>
    <row r="206" ht="20.25" customHeight="1">
      <c r="D206" s="51"/>
    </row>
    <row r="207" ht="20.25" customHeight="1">
      <c r="D207" s="51"/>
    </row>
    <row r="208" ht="20.25" customHeight="1">
      <c r="D208" s="51"/>
    </row>
    <row r="209" ht="20.25" customHeight="1">
      <c r="D209" s="51"/>
    </row>
    <row r="210" ht="20.25" customHeight="1">
      <c r="D210" s="51"/>
    </row>
    <row r="211" ht="20.25" customHeight="1">
      <c r="D211" s="51"/>
    </row>
    <row r="212" ht="20.25" customHeight="1">
      <c r="D212" s="51"/>
    </row>
    <row r="213" ht="20.25" customHeight="1">
      <c r="D213" s="51"/>
    </row>
    <row r="214" ht="20.25" customHeight="1">
      <c r="D214" s="51"/>
    </row>
    <row r="215" ht="20.25" customHeight="1">
      <c r="D215" s="51"/>
    </row>
    <row r="216" ht="20.25" customHeight="1">
      <c r="D216" s="51"/>
    </row>
    <row r="217" ht="20.25" customHeight="1">
      <c r="D217" s="51"/>
    </row>
    <row r="218" ht="20.25" customHeight="1">
      <c r="D218" s="51"/>
    </row>
    <row r="219" ht="20.25" customHeight="1">
      <c r="D219" s="51"/>
    </row>
    <row r="220" ht="20.25" customHeight="1">
      <c r="D220" s="51"/>
    </row>
    <row r="221" ht="20.25" customHeight="1">
      <c r="D221" s="51"/>
    </row>
    <row r="222" ht="20.25" customHeight="1">
      <c r="D222" s="51"/>
    </row>
    <row r="223" ht="20.25" customHeight="1">
      <c r="D223" s="51"/>
    </row>
    <row r="224" ht="20.25" customHeight="1">
      <c r="D224" s="51"/>
    </row>
    <row r="225" ht="20.25" customHeight="1">
      <c r="D225" s="51"/>
    </row>
    <row r="226" ht="20.25" customHeight="1">
      <c r="D226" s="51"/>
    </row>
    <row r="227" ht="20.25" customHeight="1">
      <c r="D227" s="51"/>
    </row>
    <row r="228" ht="20.25" customHeight="1">
      <c r="D228" s="51"/>
    </row>
    <row r="229" ht="20.25" customHeight="1">
      <c r="D229" s="51"/>
    </row>
    <row r="230" ht="20.25" customHeight="1">
      <c r="D230" s="51"/>
    </row>
    <row r="231" ht="20.25" customHeight="1">
      <c r="D231" s="51"/>
    </row>
    <row r="232" ht="20.25" customHeight="1">
      <c r="D232" s="51"/>
    </row>
    <row r="233" ht="20.25" customHeight="1">
      <c r="D233" s="51"/>
    </row>
    <row r="234" ht="20.25" customHeight="1">
      <c r="D234" s="51"/>
    </row>
    <row r="235" ht="20.25" customHeight="1">
      <c r="D235" s="51"/>
    </row>
    <row r="236" ht="20.25" customHeight="1">
      <c r="D236" s="51"/>
    </row>
    <row r="237" ht="20.25" customHeight="1">
      <c r="D237" s="51"/>
    </row>
    <row r="238" ht="20.25" customHeight="1">
      <c r="D238" s="51"/>
    </row>
    <row r="239" ht="20.25" customHeight="1">
      <c r="D239" s="51"/>
    </row>
    <row r="240" ht="20.25" customHeight="1">
      <c r="D240" s="51"/>
    </row>
    <row r="241" ht="20.25" customHeight="1">
      <c r="D241" s="51"/>
    </row>
    <row r="242" ht="20.25" customHeight="1">
      <c r="D242" s="51"/>
    </row>
    <row r="243" ht="20.25" customHeight="1">
      <c r="D243" s="51"/>
    </row>
    <row r="244" ht="20.25" customHeight="1">
      <c r="D244" s="51"/>
    </row>
    <row r="245" ht="20.25" customHeight="1">
      <c r="D245" s="51"/>
    </row>
    <row r="246" ht="20.25" customHeight="1">
      <c r="D246" s="51"/>
    </row>
    <row r="247" ht="20.25" customHeight="1">
      <c r="D247" s="51"/>
    </row>
    <row r="248" ht="20.25" customHeight="1">
      <c r="D248" s="51"/>
    </row>
    <row r="249" ht="20.25" customHeight="1">
      <c r="D249" s="51"/>
    </row>
    <row r="250" ht="20.25" customHeight="1">
      <c r="D250" s="51"/>
    </row>
    <row r="251" ht="20.25" customHeight="1">
      <c r="D251" s="51"/>
    </row>
    <row r="252" ht="20.25" customHeight="1">
      <c r="D252" s="51"/>
    </row>
    <row r="253" ht="20.25" customHeight="1">
      <c r="D253" s="51"/>
    </row>
    <row r="254" ht="20.25" customHeight="1">
      <c r="D254" s="51"/>
    </row>
    <row r="255" ht="20.25" customHeight="1">
      <c r="D255" s="51"/>
    </row>
    <row r="256" ht="20.25" customHeight="1">
      <c r="D256" s="51"/>
    </row>
    <row r="257" ht="20.25" customHeight="1">
      <c r="D257" s="51"/>
    </row>
    <row r="258" ht="20.25" customHeight="1">
      <c r="D258" s="51"/>
    </row>
    <row r="259" ht="20.25" customHeight="1">
      <c r="D259" s="51"/>
    </row>
    <row r="260" ht="20.25" customHeight="1">
      <c r="D260" s="51"/>
    </row>
    <row r="261" ht="20.25" customHeight="1">
      <c r="D261" s="51"/>
    </row>
    <row r="262" ht="20.25" customHeight="1">
      <c r="D262" s="51"/>
    </row>
    <row r="263" ht="20.25" customHeight="1">
      <c r="D263" s="51"/>
    </row>
    <row r="264" ht="20.25" customHeight="1">
      <c r="D264" s="51"/>
    </row>
    <row r="265" ht="20.25" customHeight="1">
      <c r="D265" s="51"/>
    </row>
    <row r="266" ht="20.25" customHeight="1">
      <c r="D266" s="51"/>
    </row>
    <row r="267" ht="20.25" customHeight="1">
      <c r="D267" s="51"/>
    </row>
    <row r="268" ht="20.25" customHeight="1">
      <c r="D268" s="51"/>
    </row>
    <row r="269" ht="20.25" customHeight="1">
      <c r="D269" s="51"/>
    </row>
    <row r="270" ht="20.25" customHeight="1">
      <c r="D270" s="51"/>
    </row>
    <row r="271" ht="20.25" customHeight="1">
      <c r="D271" s="51"/>
    </row>
    <row r="272" ht="20.25" customHeight="1">
      <c r="D272" s="51"/>
    </row>
    <row r="273" ht="20.25" customHeight="1">
      <c r="D273" s="51"/>
    </row>
    <row r="274" ht="20.25" customHeight="1">
      <c r="D274" s="51"/>
    </row>
    <row r="275" ht="20.25" customHeight="1">
      <c r="D275" s="51"/>
    </row>
    <row r="276" ht="20.25" customHeight="1">
      <c r="D276" s="51"/>
    </row>
    <row r="277" ht="20.25" customHeight="1">
      <c r="D277" s="51"/>
    </row>
    <row r="278" ht="20.25" customHeight="1">
      <c r="D278" s="51"/>
    </row>
    <row r="279" ht="20.25" customHeight="1">
      <c r="D279" s="51"/>
    </row>
    <row r="280" ht="20.25" customHeight="1">
      <c r="D280" s="51"/>
    </row>
    <row r="281" ht="20.25" customHeight="1">
      <c r="D281" s="51"/>
    </row>
    <row r="282" ht="20.25" customHeight="1">
      <c r="D282" s="51"/>
    </row>
    <row r="283" ht="20.25" customHeight="1">
      <c r="D283" s="51"/>
    </row>
    <row r="284" ht="20.25" customHeight="1">
      <c r="D284" s="51"/>
    </row>
    <row r="285" ht="20.25" customHeight="1">
      <c r="D285" s="51"/>
    </row>
    <row r="286" ht="20.25" customHeight="1">
      <c r="D286" s="51"/>
    </row>
    <row r="287" ht="20.25" customHeight="1">
      <c r="D287" s="51"/>
    </row>
    <row r="288" ht="20.25" customHeight="1">
      <c r="D288" s="51"/>
    </row>
    <row r="289" ht="20.25" customHeight="1">
      <c r="D289" s="51"/>
    </row>
    <row r="290" ht="20.25" customHeight="1">
      <c r="D290" s="51"/>
    </row>
    <row r="291" ht="20.25" customHeight="1">
      <c r="D291" s="51"/>
    </row>
    <row r="292" ht="20.25" customHeight="1">
      <c r="D292" s="51"/>
    </row>
    <row r="293" ht="20.25" customHeight="1">
      <c r="D293" s="51"/>
    </row>
    <row r="294" ht="20.25" customHeight="1">
      <c r="D294" s="51"/>
    </row>
    <row r="295" ht="20.25" customHeight="1">
      <c r="D295" s="51"/>
    </row>
    <row r="296" ht="20.25" customHeight="1">
      <c r="D296" s="51"/>
    </row>
    <row r="297" ht="20.25" customHeight="1">
      <c r="D297" s="51"/>
    </row>
    <row r="298" ht="20.25" customHeight="1">
      <c r="D298" s="51"/>
    </row>
    <row r="299" ht="20.25" customHeight="1">
      <c r="D299" s="51"/>
    </row>
    <row r="300" ht="20.25" customHeight="1">
      <c r="D300" s="51"/>
    </row>
    <row r="301" ht="20.25" customHeight="1">
      <c r="D301" s="51"/>
    </row>
    <row r="302" ht="20.25" customHeight="1">
      <c r="D302" s="51"/>
    </row>
    <row r="303" ht="20.25" customHeight="1">
      <c r="D303" s="51"/>
    </row>
    <row r="304" ht="20.25" customHeight="1">
      <c r="D304" s="51"/>
    </row>
    <row r="305" ht="20.25" customHeight="1">
      <c r="D305" s="51"/>
    </row>
    <row r="306" ht="20.25" customHeight="1">
      <c r="D306" s="51"/>
    </row>
    <row r="307" ht="20.25" customHeight="1">
      <c r="D307" s="51"/>
    </row>
    <row r="308" ht="20.25" customHeight="1">
      <c r="D308" s="51"/>
    </row>
    <row r="309" ht="20.25" customHeight="1">
      <c r="D309" s="51"/>
    </row>
    <row r="310" ht="20.25" customHeight="1">
      <c r="D310" s="51"/>
    </row>
    <row r="311" ht="20.25" customHeight="1">
      <c r="D311" s="51"/>
    </row>
    <row r="312" ht="20.25" customHeight="1">
      <c r="D312" s="51"/>
    </row>
    <row r="313" ht="20.25" customHeight="1">
      <c r="D313" s="51"/>
    </row>
    <row r="314" ht="20.25" customHeight="1">
      <c r="D314" s="51"/>
    </row>
    <row r="315" ht="20.25" customHeight="1">
      <c r="D315" s="51"/>
    </row>
    <row r="316" ht="20.25" customHeight="1">
      <c r="D316" s="51"/>
    </row>
    <row r="317" ht="20.25" customHeight="1">
      <c r="D317" s="51"/>
    </row>
    <row r="318" ht="20.25" customHeight="1">
      <c r="D318" s="51"/>
    </row>
    <row r="319" ht="20.25" customHeight="1">
      <c r="D319" s="51"/>
    </row>
    <row r="320" ht="20.25" customHeight="1">
      <c r="D320" s="51"/>
    </row>
    <row r="321" ht="20.25" customHeight="1">
      <c r="D321" s="51"/>
    </row>
    <row r="322" ht="20.25" customHeight="1">
      <c r="D322" s="51"/>
    </row>
    <row r="323" ht="20.25" customHeight="1">
      <c r="D323" s="51"/>
    </row>
    <row r="324" ht="20.25" customHeight="1">
      <c r="D324" s="51"/>
    </row>
    <row r="325" ht="20.25" customHeight="1">
      <c r="D325" s="51"/>
    </row>
    <row r="326" ht="20.25" customHeight="1">
      <c r="D326" s="51"/>
    </row>
    <row r="327" ht="20.25" customHeight="1">
      <c r="D327" s="51"/>
    </row>
    <row r="328" ht="20.25" customHeight="1">
      <c r="D328" s="51"/>
    </row>
    <row r="329" ht="20.25" customHeight="1">
      <c r="D329" s="51"/>
    </row>
    <row r="330" ht="20.25" customHeight="1">
      <c r="D330" s="51"/>
    </row>
    <row r="331" ht="20.25" customHeight="1">
      <c r="D331" s="51"/>
    </row>
    <row r="332" ht="20.25" customHeight="1">
      <c r="D332" s="51"/>
    </row>
    <row r="333" ht="20.25" customHeight="1">
      <c r="D333" s="51"/>
    </row>
    <row r="334" ht="20.25" customHeight="1">
      <c r="D334" s="51"/>
    </row>
    <row r="335" ht="20.25" customHeight="1">
      <c r="D335" s="51"/>
    </row>
    <row r="336" ht="20.25" customHeight="1">
      <c r="D336" s="51"/>
    </row>
    <row r="337" ht="20.25" customHeight="1">
      <c r="D337" s="51"/>
    </row>
    <row r="338" ht="20.25" customHeight="1">
      <c r="D338" s="51"/>
    </row>
    <row r="339" ht="20.25" customHeight="1">
      <c r="D339" s="51"/>
    </row>
    <row r="340" ht="20.25" customHeight="1">
      <c r="D340" s="51"/>
    </row>
    <row r="341" ht="20.25" customHeight="1">
      <c r="D341" s="51"/>
    </row>
    <row r="342" ht="20.25" customHeight="1">
      <c r="D342" s="51"/>
    </row>
    <row r="343" ht="20.25" customHeight="1">
      <c r="D343" s="51"/>
    </row>
    <row r="344" ht="20.25" customHeight="1">
      <c r="D344" s="51"/>
    </row>
    <row r="345" ht="20.25" customHeight="1">
      <c r="D345" s="51"/>
    </row>
    <row r="346" ht="20.25" customHeight="1">
      <c r="D346" s="51"/>
    </row>
    <row r="347" ht="20.25" customHeight="1">
      <c r="D347" s="51"/>
    </row>
    <row r="348" ht="20.25" customHeight="1">
      <c r="D348" s="51"/>
    </row>
    <row r="349" ht="20.25" customHeight="1">
      <c r="D349" s="51"/>
    </row>
    <row r="350" ht="20.25" customHeight="1">
      <c r="D350" s="51"/>
    </row>
    <row r="351" ht="20.25" customHeight="1">
      <c r="D351" s="51"/>
    </row>
    <row r="352" ht="20.25" customHeight="1">
      <c r="D352" s="51"/>
    </row>
    <row r="353" ht="20.25" customHeight="1">
      <c r="D353" s="51"/>
    </row>
    <row r="354" ht="20.25" customHeight="1">
      <c r="D354" s="51"/>
    </row>
    <row r="355" ht="20.25" customHeight="1">
      <c r="D355" s="51"/>
    </row>
    <row r="356" ht="20.25" customHeight="1">
      <c r="D356" s="51"/>
    </row>
    <row r="357" ht="20.25" customHeight="1">
      <c r="D357" s="51"/>
    </row>
    <row r="358" ht="20.25" customHeight="1">
      <c r="D358" s="51"/>
    </row>
    <row r="359" ht="20.25" customHeight="1">
      <c r="D359" s="51"/>
    </row>
    <row r="360" ht="20.25" customHeight="1">
      <c r="D360" s="51"/>
    </row>
    <row r="361" ht="20.25" customHeight="1">
      <c r="D361" s="51"/>
    </row>
    <row r="362" ht="20.25" customHeight="1">
      <c r="D362" s="51"/>
    </row>
    <row r="363" ht="20.25" customHeight="1">
      <c r="D363" s="51"/>
    </row>
    <row r="364" ht="20.25" customHeight="1">
      <c r="D364" s="51"/>
    </row>
    <row r="365" ht="20.25" customHeight="1">
      <c r="D365" s="51"/>
    </row>
    <row r="366" ht="20.25" customHeight="1">
      <c r="D366" s="51"/>
    </row>
    <row r="367" ht="20.25" customHeight="1">
      <c r="D367" s="51"/>
    </row>
    <row r="368" ht="20.25" customHeight="1">
      <c r="D368" s="51"/>
    </row>
    <row r="369" ht="20.25" customHeight="1">
      <c r="D369" s="51"/>
    </row>
    <row r="370" ht="20.25" customHeight="1">
      <c r="D370" s="51"/>
    </row>
    <row r="371" ht="20.25" customHeight="1">
      <c r="D371" s="51"/>
    </row>
    <row r="372" ht="20.25" customHeight="1">
      <c r="D372" s="51"/>
    </row>
    <row r="373" ht="20.25" customHeight="1">
      <c r="D373" s="51"/>
    </row>
    <row r="374" ht="20.25" customHeight="1">
      <c r="D374" s="51"/>
    </row>
    <row r="375" ht="20.25" customHeight="1">
      <c r="D375" s="51"/>
    </row>
    <row r="376" ht="20.25" customHeight="1">
      <c r="D376" s="51"/>
    </row>
    <row r="377" ht="20.25" customHeight="1">
      <c r="D377" s="51"/>
    </row>
    <row r="378" ht="20.25" customHeight="1">
      <c r="D378" s="51"/>
    </row>
    <row r="379" ht="20.25" customHeight="1">
      <c r="D379" s="51"/>
    </row>
    <row r="380" ht="20.25" customHeight="1">
      <c r="D380" s="51"/>
    </row>
    <row r="381" ht="20.25" customHeight="1">
      <c r="D381" s="51"/>
    </row>
    <row r="382" ht="20.25" customHeight="1">
      <c r="D382" s="51"/>
    </row>
    <row r="383" ht="20.25" customHeight="1">
      <c r="D383" s="51"/>
    </row>
    <row r="384" ht="20.25" customHeight="1">
      <c r="D384" s="51"/>
    </row>
    <row r="385" ht="20.25" customHeight="1">
      <c r="D385" s="51"/>
    </row>
    <row r="386" ht="20.25" customHeight="1">
      <c r="D386" s="51"/>
    </row>
    <row r="387" ht="20.25" customHeight="1">
      <c r="D387" s="51"/>
    </row>
    <row r="388" ht="20.25" customHeight="1">
      <c r="D388" s="51"/>
    </row>
    <row r="389" ht="20.25" customHeight="1">
      <c r="D389" s="51"/>
    </row>
    <row r="390" ht="20.25" customHeight="1">
      <c r="D390" s="51"/>
    </row>
    <row r="391" ht="20.25" customHeight="1">
      <c r="D391" s="51"/>
    </row>
    <row r="392" ht="20.25" customHeight="1">
      <c r="D392" s="51"/>
    </row>
    <row r="393" ht="20.25" customHeight="1">
      <c r="D393" s="51"/>
    </row>
    <row r="394" ht="20.25" customHeight="1">
      <c r="D394" s="51"/>
    </row>
    <row r="395" ht="20.25" customHeight="1">
      <c r="D395" s="51"/>
    </row>
    <row r="396" ht="20.25" customHeight="1">
      <c r="D396" s="51"/>
    </row>
    <row r="397" ht="20.25" customHeight="1">
      <c r="D397" s="51"/>
    </row>
    <row r="398" ht="20.25" customHeight="1">
      <c r="D398" s="51"/>
    </row>
    <row r="399" ht="20.25" customHeight="1">
      <c r="D399" s="51"/>
    </row>
    <row r="400" ht="20.25" customHeight="1">
      <c r="D400" s="51"/>
    </row>
    <row r="401" ht="20.25" customHeight="1">
      <c r="D401" s="51"/>
    </row>
    <row r="402" ht="20.25" customHeight="1">
      <c r="D402" s="51"/>
    </row>
    <row r="403" ht="20.25" customHeight="1">
      <c r="D403" s="51"/>
    </row>
    <row r="404" ht="20.25" customHeight="1">
      <c r="D404" s="51"/>
    </row>
    <row r="405" ht="20.25" customHeight="1">
      <c r="D405" s="51"/>
    </row>
    <row r="406" ht="20.25" customHeight="1">
      <c r="D406" s="51"/>
    </row>
    <row r="407" ht="20.25" customHeight="1">
      <c r="D407" s="51"/>
    </row>
    <row r="408" ht="20.25" customHeight="1">
      <c r="D408" s="51"/>
    </row>
    <row r="409" ht="20.25" customHeight="1">
      <c r="D409" s="51"/>
    </row>
    <row r="410" ht="20.25" customHeight="1">
      <c r="D410" s="51"/>
    </row>
    <row r="411" ht="20.25" customHeight="1">
      <c r="D411" s="51"/>
    </row>
    <row r="412" ht="20.25" customHeight="1">
      <c r="D412" s="51"/>
    </row>
    <row r="413" ht="20.25" customHeight="1">
      <c r="D413" s="51"/>
    </row>
    <row r="414" ht="20.25" customHeight="1">
      <c r="D414" s="51"/>
    </row>
    <row r="415" ht="20.25" customHeight="1">
      <c r="D415" s="51"/>
    </row>
    <row r="416" ht="20.25" customHeight="1">
      <c r="D416" s="51"/>
    </row>
    <row r="417" ht="20.25" customHeight="1">
      <c r="D417" s="51"/>
    </row>
    <row r="418" ht="20.25" customHeight="1">
      <c r="D418" s="51"/>
    </row>
    <row r="419" ht="20.25" customHeight="1">
      <c r="D419" s="51"/>
    </row>
    <row r="420" ht="20.25" customHeight="1">
      <c r="D420" s="51"/>
    </row>
    <row r="421" ht="20.25" customHeight="1">
      <c r="D421" s="51"/>
    </row>
    <row r="422" ht="20.25" customHeight="1">
      <c r="D422" s="51"/>
    </row>
    <row r="423" ht="20.25" customHeight="1">
      <c r="D423" s="51"/>
    </row>
    <row r="424" ht="20.25" customHeight="1">
      <c r="D424" s="51"/>
    </row>
    <row r="425" ht="20.25" customHeight="1">
      <c r="D425" s="51"/>
    </row>
    <row r="426" ht="20.25" customHeight="1">
      <c r="D426" s="51"/>
    </row>
    <row r="427" ht="20.25" customHeight="1">
      <c r="D427" s="51"/>
    </row>
    <row r="428" ht="20.25" customHeight="1">
      <c r="D428" s="51"/>
    </row>
    <row r="429" ht="20.25" customHeight="1">
      <c r="D429" s="51"/>
    </row>
    <row r="430" ht="20.25" customHeight="1">
      <c r="D430" s="51"/>
    </row>
    <row r="431" ht="20.25" customHeight="1">
      <c r="D431" s="51"/>
    </row>
    <row r="432" ht="20.25" customHeight="1">
      <c r="D432" s="51"/>
    </row>
    <row r="433" ht="20.25" customHeight="1">
      <c r="D433" s="51"/>
    </row>
    <row r="434" ht="20.25" customHeight="1">
      <c r="D434" s="51"/>
    </row>
    <row r="435" ht="20.25" customHeight="1">
      <c r="D435" s="51"/>
    </row>
    <row r="436" ht="20.25" customHeight="1">
      <c r="D436" s="51"/>
    </row>
    <row r="437" ht="20.25" customHeight="1">
      <c r="D437" s="51"/>
    </row>
    <row r="438" ht="20.25" customHeight="1">
      <c r="D438" s="51"/>
    </row>
    <row r="439" ht="20.25" customHeight="1">
      <c r="D439" s="51"/>
    </row>
    <row r="440" ht="20.25" customHeight="1">
      <c r="D440" s="51"/>
    </row>
    <row r="441" ht="20.25" customHeight="1">
      <c r="D441" s="51"/>
    </row>
    <row r="442" ht="20.25" customHeight="1">
      <c r="D442" s="51"/>
    </row>
    <row r="443" ht="20.25" customHeight="1">
      <c r="D443" s="51"/>
    </row>
    <row r="444" ht="20.25" customHeight="1">
      <c r="D444" s="51"/>
    </row>
    <row r="445" ht="20.25" customHeight="1">
      <c r="D445" s="51"/>
    </row>
    <row r="446" ht="20.25" customHeight="1">
      <c r="D446" s="51"/>
    </row>
    <row r="447" ht="20.25" customHeight="1">
      <c r="D447" s="51"/>
    </row>
    <row r="448" ht="20.25" customHeight="1">
      <c r="D448" s="51"/>
    </row>
    <row r="449" ht="20.25" customHeight="1">
      <c r="D449" s="51"/>
    </row>
    <row r="450" ht="20.25" customHeight="1">
      <c r="D450" s="51"/>
    </row>
    <row r="451" ht="20.25" customHeight="1">
      <c r="D451" s="51"/>
    </row>
    <row r="452" ht="20.25" customHeight="1">
      <c r="D452" s="51"/>
    </row>
    <row r="453" ht="20.25" customHeight="1">
      <c r="D453" s="51"/>
    </row>
    <row r="454" ht="20.25" customHeight="1">
      <c r="D454" s="51"/>
    </row>
    <row r="455" ht="20.25" customHeight="1">
      <c r="D455" s="51"/>
    </row>
    <row r="456" ht="20.25" customHeight="1">
      <c r="D456" s="51"/>
    </row>
    <row r="457" ht="20.25" customHeight="1">
      <c r="D457" s="51"/>
    </row>
    <row r="458" ht="20.25" customHeight="1">
      <c r="D458" s="51"/>
    </row>
    <row r="459" ht="20.25" customHeight="1">
      <c r="D459" s="51"/>
    </row>
    <row r="460" ht="20.25" customHeight="1">
      <c r="D460" s="51"/>
    </row>
    <row r="461" ht="20.25" customHeight="1">
      <c r="D461" s="51"/>
    </row>
    <row r="462" ht="20.25" customHeight="1">
      <c r="D462" s="51"/>
    </row>
    <row r="463" ht="20.25" customHeight="1">
      <c r="D463" s="51"/>
    </row>
    <row r="464" ht="20.25" customHeight="1">
      <c r="D464" s="51"/>
    </row>
    <row r="465" ht="20.25" customHeight="1">
      <c r="D465" s="51"/>
    </row>
    <row r="466" ht="20.25" customHeight="1">
      <c r="D466" s="51"/>
    </row>
    <row r="467" ht="20.25" customHeight="1">
      <c r="D467" s="51"/>
    </row>
    <row r="468" ht="20.25" customHeight="1">
      <c r="D468" s="51"/>
    </row>
    <row r="469" ht="20.25" customHeight="1">
      <c r="D469" s="51"/>
    </row>
    <row r="470" ht="20.25" customHeight="1">
      <c r="D470" s="51"/>
    </row>
    <row r="471" ht="20.25" customHeight="1">
      <c r="D471" s="51"/>
    </row>
    <row r="472" ht="20.25" customHeight="1">
      <c r="D472" s="51"/>
    </row>
    <row r="473" ht="20.25" customHeight="1">
      <c r="D473" s="51"/>
    </row>
    <row r="474" ht="20.25" customHeight="1">
      <c r="D474" s="51"/>
    </row>
    <row r="475" ht="20.25" customHeight="1">
      <c r="D475" s="51"/>
    </row>
    <row r="476" ht="20.25" customHeight="1">
      <c r="D476" s="51"/>
    </row>
    <row r="477" ht="20.25" customHeight="1">
      <c r="D477" s="51"/>
    </row>
    <row r="478" ht="20.25" customHeight="1">
      <c r="D478" s="51"/>
    </row>
    <row r="479" ht="20.25" customHeight="1">
      <c r="D479" s="51"/>
    </row>
    <row r="480" ht="20.25" customHeight="1">
      <c r="D480" s="51"/>
    </row>
    <row r="481" ht="20.25" customHeight="1">
      <c r="D481" s="51"/>
    </row>
    <row r="482" ht="20.25" customHeight="1">
      <c r="D482" s="51"/>
    </row>
    <row r="483" ht="20.25" customHeight="1">
      <c r="D483" s="51"/>
    </row>
    <row r="484" ht="20.25" customHeight="1">
      <c r="D484" s="51"/>
    </row>
    <row r="485" ht="20.25" customHeight="1">
      <c r="D485" s="51"/>
    </row>
    <row r="486" ht="20.25" customHeight="1">
      <c r="D486" s="51"/>
    </row>
    <row r="487" ht="20.25" customHeight="1">
      <c r="D487" s="51"/>
    </row>
    <row r="488" ht="20.25" customHeight="1">
      <c r="D488" s="51"/>
    </row>
    <row r="489" ht="20.25" customHeight="1">
      <c r="D489" s="51"/>
    </row>
    <row r="490" ht="20.25" customHeight="1">
      <c r="D490" s="51"/>
    </row>
    <row r="491" ht="20.25" customHeight="1">
      <c r="D491" s="51"/>
    </row>
    <row r="492" ht="20.25" customHeight="1">
      <c r="D492" s="51"/>
    </row>
    <row r="493" ht="20.25" customHeight="1">
      <c r="D493" s="51"/>
    </row>
    <row r="494" ht="20.25" customHeight="1">
      <c r="D494" s="51"/>
    </row>
    <row r="495" ht="20.25" customHeight="1">
      <c r="D495" s="51"/>
    </row>
    <row r="496" ht="20.25" customHeight="1">
      <c r="D496" s="51"/>
    </row>
    <row r="497" ht="20.25" customHeight="1">
      <c r="D497" s="51"/>
    </row>
    <row r="498" ht="20.25" customHeight="1">
      <c r="D498" s="51"/>
    </row>
    <row r="499" ht="20.25" customHeight="1">
      <c r="D499" s="51"/>
    </row>
    <row r="500" ht="20.25" customHeight="1">
      <c r="D500" s="51"/>
    </row>
    <row r="501" ht="20.25" customHeight="1">
      <c r="D501" s="51"/>
    </row>
    <row r="502" ht="20.25" customHeight="1">
      <c r="D502" s="51"/>
    </row>
    <row r="503" ht="20.25" customHeight="1">
      <c r="D503" s="51"/>
    </row>
    <row r="504" ht="20.25" customHeight="1">
      <c r="D504" s="51"/>
    </row>
    <row r="505" ht="20.25" customHeight="1">
      <c r="D505" s="51"/>
    </row>
    <row r="506" ht="20.25" customHeight="1">
      <c r="D506" s="51"/>
    </row>
    <row r="507" ht="20.25" customHeight="1">
      <c r="D507" s="51"/>
    </row>
    <row r="508" ht="20.25" customHeight="1">
      <c r="D508" s="51"/>
    </row>
    <row r="509" ht="20.25" customHeight="1">
      <c r="D509" s="51"/>
    </row>
    <row r="510" ht="20.25" customHeight="1">
      <c r="D510" s="51"/>
    </row>
    <row r="511" ht="20.25" customHeight="1">
      <c r="D511" s="51"/>
    </row>
    <row r="512" ht="20.25" customHeight="1">
      <c r="D512" s="51"/>
    </row>
    <row r="513" ht="20.25" customHeight="1">
      <c r="D513" s="51"/>
    </row>
    <row r="514" ht="20.25" customHeight="1">
      <c r="D514" s="51"/>
    </row>
    <row r="515" ht="20.25" customHeight="1">
      <c r="D515" s="51"/>
    </row>
    <row r="516" ht="20.25" customHeight="1">
      <c r="D516" s="51"/>
    </row>
    <row r="517" ht="20.25" customHeight="1">
      <c r="D517" s="51"/>
    </row>
    <row r="518" ht="20.25" customHeight="1">
      <c r="D518" s="51"/>
    </row>
    <row r="519" ht="20.25" customHeight="1">
      <c r="D519" s="51"/>
    </row>
    <row r="520" ht="20.25" customHeight="1">
      <c r="D520" s="51"/>
    </row>
    <row r="521" ht="20.25" customHeight="1">
      <c r="D521" s="51"/>
    </row>
    <row r="522" ht="20.25" customHeight="1">
      <c r="D522" s="51"/>
    </row>
    <row r="523" ht="20.25" customHeight="1">
      <c r="D523" s="51"/>
    </row>
    <row r="524" ht="20.25" customHeight="1">
      <c r="D524" s="51"/>
    </row>
    <row r="525" ht="20.25" customHeight="1">
      <c r="D525" s="51"/>
    </row>
    <row r="526" ht="20.25" customHeight="1">
      <c r="D526" s="51"/>
    </row>
    <row r="527" ht="20.25" customHeight="1">
      <c r="D527" s="51"/>
    </row>
    <row r="528" ht="20.25" customHeight="1">
      <c r="D528" s="51"/>
    </row>
    <row r="529" ht="20.25" customHeight="1">
      <c r="D529" s="51"/>
    </row>
    <row r="530" ht="20.25" customHeight="1">
      <c r="D530" s="51"/>
    </row>
    <row r="531" ht="20.25" customHeight="1">
      <c r="D531" s="51"/>
    </row>
    <row r="532" ht="20.25" customHeight="1">
      <c r="D532" s="51"/>
    </row>
    <row r="533" ht="20.25" customHeight="1">
      <c r="D533" s="51"/>
    </row>
    <row r="534" ht="20.25" customHeight="1">
      <c r="D534" s="51"/>
    </row>
    <row r="535" ht="20.25" customHeight="1">
      <c r="D535" s="51"/>
    </row>
    <row r="536" ht="20.25" customHeight="1">
      <c r="D536" s="51"/>
    </row>
    <row r="537" ht="20.25" customHeight="1">
      <c r="D537" s="51"/>
    </row>
    <row r="538" ht="20.25" customHeight="1">
      <c r="D538" s="51"/>
    </row>
    <row r="539" ht="20.25" customHeight="1">
      <c r="D539" s="51"/>
    </row>
    <row r="540" ht="20.25" customHeight="1">
      <c r="D540" s="51"/>
    </row>
    <row r="541" ht="20.25" customHeight="1">
      <c r="D541" s="51"/>
    </row>
    <row r="542" ht="20.25" customHeight="1">
      <c r="D542" s="51"/>
    </row>
    <row r="543" ht="20.25" customHeight="1">
      <c r="D543" s="51"/>
    </row>
    <row r="544" ht="20.25" customHeight="1">
      <c r="D544" s="51"/>
    </row>
    <row r="545" ht="20.25" customHeight="1">
      <c r="D545" s="51"/>
    </row>
    <row r="546" ht="20.25" customHeight="1">
      <c r="D546" s="51"/>
    </row>
    <row r="547" ht="20.25" customHeight="1">
      <c r="D547" s="51"/>
    </row>
    <row r="548" ht="20.25" customHeight="1">
      <c r="D548" s="51"/>
    </row>
    <row r="549" ht="20.25" customHeight="1">
      <c r="D549" s="51"/>
    </row>
    <row r="550" ht="20.25" customHeight="1">
      <c r="D550" s="51"/>
    </row>
    <row r="551" ht="20.25" customHeight="1">
      <c r="D551" s="51"/>
    </row>
    <row r="552" ht="20.25" customHeight="1">
      <c r="D552" s="51"/>
    </row>
    <row r="553" ht="20.25" customHeight="1">
      <c r="D553" s="51"/>
    </row>
    <row r="554" ht="20.25" customHeight="1">
      <c r="D554" s="51"/>
    </row>
    <row r="555" ht="20.25" customHeight="1">
      <c r="D555" s="51"/>
    </row>
    <row r="556" ht="20.25" customHeight="1">
      <c r="D556" s="51"/>
    </row>
    <row r="557" ht="20.25" customHeight="1">
      <c r="D557" s="51"/>
    </row>
    <row r="558" ht="20.25" customHeight="1">
      <c r="D558" s="51"/>
    </row>
    <row r="559" ht="20.25" customHeight="1">
      <c r="D559" s="51"/>
    </row>
    <row r="560" ht="20.25" customHeight="1">
      <c r="D560" s="51"/>
    </row>
    <row r="561" ht="20.25" customHeight="1">
      <c r="D561" s="51"/>
    </row>
    <row r="562" ht="20.25" customHeight="1">
      <c r="D562" s="51"/>
    </row>
    <row r="563" ht="20.25" customHeight="1">
      <c r="D563" s="51"/>
    </row>
    <row r="564" ht="20.25" customHeight="1">
      <c r="D564" s="51"/>
    </row>
    <row r="565" ht="20.25" customHeight="1">
      <c r="D565" s="51"/>
    </row>
    <row r="566" ht="20.25" customHeight="1">
      <c r="D566" s="51"/>
    </row>
    <row r="567" ht="20.25" customHeight="1">
      <c r="D567" s="51"/>
    </row>
    <row r="568" ht="20.25" customHeight="1">
      <c r="D568" s="51"/>
    </row>
    <row r="569" ht="20.25" customHeight="1">
      <c r="D569" s="51"/>
    </row>
    <row r="570" ht="20.25" customHeight="1">
      <c r="D570" s="51"/>
    </row>
    <row r="571" ht="20.25" customHeight="1">
      <c r="D571" s="51"/>
    </row>
    <row r="572" ht="20.25" customHeight="1">
      <c r="D572" s="51"/>
    </row>
    <row r="573" ht="20.25" customHeight="1">
      <c r="D573" s="51"/>
    </row>
    <row r="574" ht="20.25" customHeight="1">
      <c r="D574" s="51"/>
    </row>
    <row r="575" ht="20.25" customHeight="1">
      <c r="D575" s="51"/>
    </row>
    <row r="576" ht="20.25" customHeight="1">
      <c r="D576" s="51"/>
    </row>
    <row r="577" ht="20.25" customHeight="1">
      <c r="D577" s="51"/>
    </row>
    <row r="578" ht="20.25" customHeight="1">
      <c r="D578" s="51"/>
    </row>
    <row r="579" ht="20.25" customHeight="1">
      <c r="D579" s="51"/>
    </row>
    <row r="580" ht="20.25" customHeight="1">
      <c r="D580" s="51"/>
    </row>
    <row r="581" ht="20.25" customHeight="1">
      <c r="D581" s="51"/>
    </row>
    <row r="582" ht="20.25" customHeight="1">
      <c r="D582" s="51"/>
    </row>
    <row r="583" ht="20.25" customHeight="1">
      <c r="D583" s="51"/>
    </row>
    <row r="584" ht="20.25" customHeight="1">
      <c r="D584" s="51"/>
    </row>
    <row r="585" ht="20.25" customHeight="1">
      <c r="D585" s="51"/>
    </row>
    <row r="586" ht="20.25" customHeight="1">
      <c r="D586" s="51"/>
    </row>
    <row r="587" ht="20.25" customHeight="1">
      <c r="D587" s="51"/>
    </row>
    <row r="588" ht="20.25" customHeight="1">
      <c r="D588" s="51"/>
    </row>
    <row r="589" ht="20.25" customHeight="1">
      <c r="D589" s="51"/>
    </row>
    <row r="590" ht="20.25" customHeight="1">
      <c r="D590" s="51"/>
    </row>
    <row r="591" ht="20.25" customHeight="1">
      <c r="D591" s="51"/>
    </row>
    <row r="592" ht="20.25" customHeight="1">
      <c r="D592" s="51"/>
    </row>
    <row r="593" ht="20.25" customHeight="1">
      <c r="D593" s="51"/>
    </row>
    <row r="594" ht="20.25" customHeight="1">
      <c r="D594" s="51"/>
    </row>
    <row r="595" ht="20.25" customHeight="1">
      <c r="D595" s="51"/>
    </row>
    <row r="596" ht="20.25" customHeight="1">
      <c r="D596" s="51"/>
    </row>
    <row r="597" ht="20.25" customHeight="1">
      <c r="D597" s="51"/>
    </row>
    <row r="598" ht="20.25" customHeight="1">
      <c r="D598" s="51"/>
    </row>
    <row r="599" ht="20.25" customHeight="1">
      <c r="D599" s="51"/>
    </row>
    <row r="600" ht="20.25" customHeight="1">
      <c r="D600" s="51"/>
    </row>
    <row r="601" ht="20.25" customHeight="1">
      <c r="D601" s="51"/>
    </row>
    <row r="602" ht="20.25" customHeight="1">
      <c r="D602" s="51"/>
    </row>
    <row r="603" ht="20.25" customHeight="1">
      <c r="D603" s="51"/>
    </row>
    <row r="604" ht="20.25" customHeight="1">
      <c r="D604" s="51"/>
    </row>
    <row r="605" ht="20.25" customHeight="1">
      <c r="D605" s="51"/>
    </row>
    <row r="606" ht="20.25" customHeight="1">
      <c r="D606" s="51"/>
    </row>
    <row r="607" ht="20.25" customHeight="1">
      <c r="D607" s="51"/>
    </row>
    <row r="608" ht="20.25" customHeight="1">
      <c r="D608" s="51"/>
    </row>
    <row r="609" ht="20.25" customHeight="1">
      <c r="D609" s="51"/>
    </row>
    <row r="610" ht="20.25" customHeight="1">
      <c r="D610" s="51"/>
    </row>
    <row r="611" ht="20.25" customHeight="1">
      <c r="D611" s="51"/>
    </row>
    <row r="612" ht="20.25" customHeight="1">
      <c r="D612" s="51"/>
    </row>
    <row r="613" ht="20.25" customHeight="1">
      <c r="D613" s="51"/>
    </row>
    <row r="614" ht="20.25" customHeight="1">
      <c r="D614" s="51"/>
    </row>
    <row r="615" ht="20.25" customHeight="1">
      <c r="D615" s="51"/>
    </row>
    <row r="616" ht="20.25" customHeight="1">
      <c r="D616" s="51"/>
    </row>
    <row r="617" ht="20.25" customHeight="1">
      <c r="D617" s="51"/>
    </row>
    <row r="618" ht="20.25" customHeight="1">
      <c r="D618" s="51"/>
    </row>
    <row r="619" ht="20.25" customHeight="1">
      <c r="D619" s="51"/>
    </row>
    <row r="620" ht="20.25" customHeight="1">
      <c r="D620" s="51"/>
    </row>
    <row r="621" ht="20.25" customHeight="1">
      <c r="D621" s="51"/>
    </row>
    <row r="622" ht="20.25" customHeight="1">
      <c r="D622" s="51"/>
    </row>
    <row r="623" ht="20.25" customHeight="1">
      <c r="D623" s="51"/>
    </row>
    <row r="624" ht="20.25" customHeight="1">
      <c r="D624" s="51"/>
    </row>
    <row r="625" ht="20.25" customHeight="1">
      <c r="D625" s="51"/>
    </row>
    <row r="626" ht="20.25" customHeight="1">
      <c r="D626" s="51"/>
    </row>
    <row r="627" ht="20.25" customHeight="1">
      <c r="D627" s="51"/>
    </row>
    <row r="628" ht="20.25" customHeight="1">
      <c r="D628" s="51"/>
    </row>
    <row r="629" ht="20.25" customHeight="1">
      <c r="D629" s="51"/>
    </row>
    <row r="630" ht="20.25" customHeight="1">
      <c r="D630" s="51"/>
    </row>
    <row r="631" ht="20.25" customHeight="1">
      <c r="D631" s="51"/>
    </row>
    <row r="632" ht="20.25" customHeight="1">
      <c r="D632" s="51"/>
    </row>
    <row r="633" ht="20.25" customHeight="1">
      <c r="D633" s="51"/>
    </row>
    <row r="634" ht="20.25" customHeight="1">
      <c r="D634" s="51"/>
    </row>
    <row r="635" ht="20.25" customHeight="1">
      <c r="D635" s="51"/>
    </row>
    <row r="636" ht="20.25" customHeight="1">
      <c r="D636" s="51"/>
    </row>
    <row r="637" ht="20.25" customHeight="1">
      <c r="D637" s="51"/>
    </row>
    <row r="638" ht="20.25" customHeight="1">
      <c r="D638" s="51"/>
    </row>
    <row r="639" ht="20.25" customHeight="1">
      <c r="D639" s="51"/>
    </row>
    <row r="640" ht="20.25" customHeight="1">
      <c r="D640" s="51"/>
    </row>
    <row r="641" ht="20.25" customHeight="1">
      <c r="D641" s="51"/>
    </row>
    <row r="642" ht="20.25" customHeight="1">
      <c r="D642" s="51"/>
    </row>
    <row r="643" ht="20.25" customHeight="1">
      <c r="D643" s="51"/>
    </row>
    <row r="644" ht="20.25" customHeight="1">
      <c r="D644" s="51"/>
    </row>
    <row r="645" ht="20.25" customHeight="1">
      <c r="D645" s="51"/>
    </row>
    <row r="646" ht="20.25" customHeight="1">
      <c r="D646" s="51"/>
    </row>
    <row r="647" ht="20.25" customHeight="1">
      <c r="D647" s="51"/>
    </row>
    <row r="648" ht="20.25" customHeight="1">
      <c r="D648" s="51"/>
    </row>
    <row r="649" ht="20.25" customHeight="1">
      <c r="D649" s="51"/>
    </row>
    <row r="650" ht="20.25" customHeight="1">
      <c r="D650" s="51"/>
    </row>
    <row r="651" ht="20.25" customHeight="1">
      <c r="D651" s="51"/>
    </row>
    <row r="652" ht="20.25" customHeight="1">
      <c r="D652" s="51"/>
    </row>
    <row r="653" ht="20.25" customHeight="1">
      <c r="D653" s="51"/>
    </row>
    <row r="654" ht="20.25" customHeight="1">
      <c r="D654" s="51"/>
    </row>
    <row r="655" ht="20.25" customHeight="1">
      <c r="D655" s="51"/>
    </row>
    <row r="656" ht="20.25" customHeight="1">
      <c r="D656" s="51"/>
    </row>
    <row r="657" ht="20.25" customHeight="1">
      <c r="D657" s="51"/>
    </row>
    <row r="658" ht="20.25" customHeight="1">
      <c r="D658" s="51"/>
    </row>
    <row r="659" ht="20.25" customHeight="1">
      <c r="D659" s="51"/>
    </row>
    <row r="660" ht="20.25" customHeight="1">
      <c r="D660" s="51"/>
    </row>
    <row r="661" ht="20.25" customHeight="1">
      <c r="D661" s="51"/>
    </row>
    <row r="662" ht="20.25" customHeight="1">
      <c r="D662" s="51"/>
    </row>
    <row r="663" ht="20.25" customHeight="1">
      <c r="D663" s="51"/>
    </row>
    <row r="664" ht="20.25" customHeight="1">
      <c r="D664" s="51"/>
    </row>
    <row r="665" ht="20.25" customHeight="1">
      <c r="D665" s="51"/>
    </row>
    <row r="666" ht="20.25" customHeight="1">
      <c r="D666" s="51"/>
    </row>
    <row r="667" ht="20.25" customHeight="1">
      <c r="D667" s="51"/>
    </row>
    <row r="668" ht="20.25" customHeight="1">
      <c r="D668" s="51"/>
    </row>
    <row r="669" ht="20.25" customHeight="1">
      <c r="D669" s="51"/>
    </row>
    <row r="670" ht="20.25" customHeight="1">
      <c r="D670" s="51"/>
    </row>
    <row r="671" ht="20.25" customHeight="1">
      <c r="D671" s="51"/>
    </row>
    <row r="672" ht="20.25" customHeight="1">
      <c r="D672" s="51"/>
    </row>
    <row r="673" ht="20.25" customHeight="1">
      <c r="D673" s="51"/>
    </row>
    <row r="674" ht="20.25" customHeight="1">
      <c r="D674" s="51"/>
    </row>
    <row r="675" ht="20.25" customHeight="1">
      <c r="D675" s="51"/>
    </row>
    <row r="676" ht="20.25" customHeight="1">
      <c r="D676" s="51"/>
    </row>
    <row r="677" ht="20.25" customHeight="1">
      <c r="D677" s="51"/>
    </row>
    <row r="678" ht="20.25" customHeight="1">
      <c r="D678" s="51"/>
    </row>
    <row r="679" ht="20.25" customHeight="1">
      <c r="D679" s="51"/>
    </row>
    <row r="680" ht="20.25" customHeight="1">
      <c r="D680" s="51"/>
    </row>
    <row r="681" ht="20.25" customHeight="1">
      <c r="D681" s="51"/>
    </row>
    <row r="682" ht="20.25" customHeight="1">
      <c r="D682" s="51"/>
    </row>
    <row r="683" ht="20.25" customHeight="1">
      <c r="D683" s="51"/>
    </row>
    <row r="684" ht="20.25" customHeight="1">
      <c r="D684" s="51"/>
    </row>
    <row r="685" ht="20.25" customHeight="1">
      <c r="D685" s="51"/>
    </row>
    <row r="686" ht="20.25" customHeight="1">
      <c r="D686" s="51"/>
    </row>
    <row r="687" ht="20.25" customHeight="1">
      <c r="D687" s="51"/>
    </row>
    <row r="688" ht="20.25" customHeight="1">
      <c r="D688" s="51"/>
    </row>
    <row r="689" ht="20.25" customHeight="1">
      <c r="D689" s="51"/>
    </row>
    <row r="690" ht="20.25" customHeight="1">
      <c r="D690" s="51"/>
    </row>
    <row r="691" ht="20.25" customHeight="1">
      <c r="D691" s="51"/>
    </row>
    <row r="692" ht="20.25" customHeight="1">
      <c r="D692" s="51"/>
    </row>
    <row r="693" ht="20.25" customHeight="1">
      <c r="D693" s="51"/>
    </row>
    <row r="694" ht="20.25" customHeight="1">
      <c r="D694" s="51"/>
    </row>
    <row r="695" ht="20.25" customHeight="1">
      <c r="D695" s="51"/>
    </row>
    <row r="696" ht="20.25" customHeight="1">
      <c r="D696" s="51"/>
    </row>
    <row r="697" ht="20.25" customHeight="1">
      <c r="D697" s="51"/>
    </row>
    <row r="698" ht="20.25" customHeight="1">
      <c r="D698" s="51"/>
    </row>
    <row r="699" ht="20.25" customHeight="1">
      <c r="D699" s="51"/>
    </row>
    <row r="700" ht="20.25" customHeight="1">
      <c r="D700" s="51"/>
    </row>
    <row r="701" ht="20.25" customHeight="1">
      <c r="D701" s="51"/>
    </row>
    <row r="702" ht="20.25" customHeight="1">
      <c r="D702" s="51"/>
    </row>
    <row r="703" ht="20.25" customHeight="1">
      <c r="D703" s="51"/>
    </row>
    <row r="704" ht="20.25" customHeight="1">
      <c r="D704" s="51"/>
    </row>
    <row r="705" ht="20.25" customHeight="1">
      <c r="D705" s="51"/>
    </row>
    <row r="706" ht="20.25" customHeight="1">
      <c r="D706" s="51"/>
    </row>
    <row r="707" ht="20.25" customHeight="1">
      <c r="D707" s="51"/>
    </row>
    <row r="708" ht="20.25" customHeight="1">
      <c r="D708" s="51"/>
    </row>
    <row r="709" ht="20.25" customHeight="1">
      <c r="D709" s="51"/>
    </row>
    <row r="710" ht="20.25" customHeight="1">
      <c r="D710" s="51"/>
    </row>
    <row r="711" ht="20.25" customHeight="1">
      <c r="D711" s="51"/>
    </row>
    <row r="712" ht="20.25" customHeight="1">
      <c r="D712" s="51"/>
    </row>
    <row r="713" ht="20.25" customHeight="1">
      <c r="D713" s="51"/>
    </row>
    <row r="714" ht="20.25" customHeight="1">
      <c r="D714" s="51"/>
    </row>
    <row r="715" ht="20.25" customHeight="1">
      <c r="D715" s="51"/>
    </row>
    <row r="716" ht="20.25" customHeight="1">
      <c r="D716" s="51"/>
    </row>
    <row r="717" ht="20.25" customHeight="1">
      <c r="D717" s="51"/>
    </row>
    <row r="718" ht="20.25" customHeight="1">
      <c r="D718" s="51"/>
    </row>
    <row r="719" ht="20.25" customHeight="1">
      <c r="D719" s="51"/>
    </row>
    <row r="720" ht="20.25" customHeight="1">
      <c r="D720" s="51"/>
    </row>
    <row r="721" ht="20.25" customHeight="1">
      <c r="D721" s="51"/>
    </row>
    <row r="722" ht="20.25" customHeight="1">
      <c r="D722" s="51"/>
    </row>
    <row r="723" ht="20.25" customHeight="1">
      <c r="D723" s="51"/>
    </row>
    <row r="724" ht="20.25" customHeight="1">
      <c r="D724" s="51"/>
    </row>
    <row r="725" ht="20.25" customHeight="1">
      <c r="D725" s="51"/>
    </row>
    <row r="726" ht="20.25" customHeight="1">
      <c r="D726" s="51"/>
    </row>
    <row r="727" ht="20.25" customHeight="1">
      <c r="D727" s="51"/>
    </row>
    <row r="728" ht="20.25" customHeight="1">
      <c r="D728" s="51"/>
    </row>
    <row r="729" ht="20.25" customHeight="1">
      <c r="D729" s="51"/>
    </row>
    <row r="730" ht="20.25" customHeight="1">
      <c r="D730" s="51"/>
    </row>
    <row r="731" ht="20.25" customHeight="1">
      <c r="D731" s="51"/>
    </row>
    <row r="732" ht="20.25" customHeight="1">
      <c r="D732" s="51"/>
    </row>
    <row r="733" ht="20.25" customHeight="1">
      <c r="D733" s="51"/>
    </row>
    <row r="734" ht="20.25" customHeight="1">
      <c r="D734" s="51"/>
    </row>
    <row r="735" ht="20.25" customHeight="1">
      <c r="D735" s="51"/>
    </row>
    <row r="736" ht="20.25" customHeight="1">
      <c r="D736" s="51"/>
    </row>
    <row r="737" ht="20.25" customHeight="1">
      <c r="D737" s="51"/>
    </row>
    <row r="738" ht="20.25" customHeight="1">
      <c r="D738" s="51"/>
    </row>
    <row r="739" ht="20.25" customHeight="1">
      <c r="D739" s="51"/>
    </row>
    <row r="740" ht="20.25" customHeight="1">
      <c r="D740" s="51"/>
    </row>
    <row r="741" ht="20.25" customHeight="1">
      <c r="D741" s="51"/>
    </row>
    <row r="742" ht="20.25" customHeight="1">
      <c r="D742" s="51"/>
    </row>
    <row r="743" ht="20.25" customHeight="1">
      <c r="D743" s="51"/>
    </row>
    <row r="744" ht="20.25" customHeight="1">
      <c r="D744" s="51"/>
    </row>
    <row r="745" ht="20.25" customHeight="1">
      <c r="D745" s="51"/>
    </row>
    <row r="746" ht="20.25" customHeight="1">
      <c r="D746" s="51"/>
    </row>
    <row r="747" ht="20.25" customHeight="1">
      <c r="D747" s="51"/>
    </row>
    <row r="748" ht="20.25" customHeight="1">
      <c r="D748" s="51"/>
    </row>
    <row r="749" ht="20.25" customHeight="1">
      <c r="D749" s="51"/>
    </row>
    <row r="750" ht="20.25" customHeight="1">
      <c r="D750" s="51"/>
    </row>
    <row r="751" ht="20.25" customHeight="1">
      <c r="D751" s="51"/>
    </row>
    <row r="752" ht="20.25" customHeight="1">
      <c r="D752" s="51"/>
    </row>
    <row r="753" ht="20.25" customHeight="1">
      <c r="D753" s="51"/>
    </row>
    <row r="754" ht="20.25" customHeight="1">
      <c r="D754" s="51"/>
    </row>
    <row r="755" ht="20.25" customHeight="1">
      <c r="D755" s="51"/>
    </row>
    <row r="756" ht="20.25" customHeight="1">
      <c r="D756" s="51"/>
    </row>
    <row r="757" ht="20.25" customHeight="1">
      <c r="D757" s="51"/>
    </row>
    <row r="758" ht="20.25" customHeight="1">
      <c r="D758" s="51"/>
    </row>
    <row r="759" ht="20.25" customHeight="1">
      <c r="D759" s="51"/>
    </row>
    <row r="760" ht="20.25" customHeight="1">
      <c r="D760" s="51"/>
    </row>
    <row r="761" ht="20.25" customHeight="1">
      <c r="D761" s="51"/>
    </row>
    <row r="762" ht="20.25" customHeight="1">
      <c r="D762" s="51"/>
    </row>
    <row r="763" ht="20.25" customHeight="1">
      <c r="D763" s="51"/>
    </row>
    <row r="764" ht="20.25" customHeight="1">
      <c r="D764" s="51"/>
    </row>
    <row r="765" ht="20.25" customHeight="1">
      <c r="D765" s="51"/>
    </row>
    <row r="766" ht="20.25" customHeight="1">
      <c r="D766" s="51"/>
    </row>
    <row r="767" ht="20.25" customHeight="1">
      <c r="D767" s="51"/>
    </row>
    <row r="768" ht="20.25" customHeight="1">
      <c r="D768" s="51"/>
    </row>
    <row r="769" ht="20.25" customHeight="1">
      <c r="D769" s="51"/>
    </row>
    <row r="770" ht="20.25" customHeight="1">
      <c r="D770" s="51"/>
    </row>
    <row r="771" ht="20.25" customHeight="1">
      <c r="D771" s="51"/>
    </row>
    <row r="772" ht="20.25" customHeight="1">
      <c r="D772" s="51"/>
    </row>
    <row r="773" ht="20.25" customHeight="1">
      <c r="D773" s="51"/>
    </row>
    <row r="774" ht="20.25" customHeight="1">
      <c r="D774" s="51"/>
    </row>
    <row r="775" ht="20.25" customHeight="1">
      <c r="D775" s="51"/>
    </row>
    <row r="776" ht="20.25" customHeight="1">
      <c r="D776" s="51"/>
    </row>
    <row r="777" ht="20.25" customHeight="1">
      <c r="D777" s="51"/>
    </row>
    <row r="778" ht="20.25" customHeight="1">
      <c r="D778" s="51"/>
    </row>
    <row r="779" ht="20.25" customHeight="1">
      <c r="D779" s="51"/>
    </row>
    <row r="780" ht="20.25" customHeight="1">
      <c r="D780" s="51"/>
    </row>
    <row r="781" ht="20.25" customHeight="1">
      <c r="D781" s="51"/>
    </row>
    <row r="782" ht="20.25" customHeight="1">
      <c r="D782" s="51"/>
    </row>
    <row r="783" ht="20.25" customHeight="1">
      <c r="D783" s="51"/>
    </row>
    <row r="784" ht="20.25" customHeight="1">
      <c r="D784" s="51"/>
    </row>
    <row r="785" ht="20.25" customHeight="1">
      <c r="D785" s="51"/>
    </row>
    <row r="786" ht="20.25" customHeight="1">
      <c r="D786" s="51"/>
    </row>
    <row r="787" ht="20.25" customHeight="1">
      <c r="D787" s="51"/>
    </row>
    <row r="788" ht="20.25" customHeight="1">
      <c r="D788" s="51"/>
    </row>
    <row r="789" ht="20.25" customHeight="1">
      <c r="D789" s="51"/>
    </row>
    <row r="790" ht="20.25" customHeight="1">
      <c r="D790" s="51"/>
    </row>
    <row r="791" ht="20.25" customHeight="1">
      <c r="D791" s="51"/>
    </row>
    <row r="792" ht="20.25" customHeight="1">
      <c r="D792" s="51"/>
    </row>
    <row r="793" ht="20.25" customHeight="1">
      <c r="D793" s="51"/>
    </row>
    <row r="794" ht="20.25" customHeight="1">
      <c r="D794" s="51"/>
    </row>
    <row r="795" ht="20.25" customHeight="1">
      <c r="D795" s="51"/>
    </row>
    <row r="796" ht="20.25" customHeight="1">
      <c r="D796" s="51"/>
    </row>
    <row r="797" ht="20.25" customHeight="1">
      <c r="D797" s="51"/>
    </row>
    <row r="798" ht="20.25" customHeight="1">
      <c r="D798" s="51"/>
    </row>
    <row r="799" ht="20.25" customHeight="1">
      <c r="D799" s="51"/>
    </row>
    <row r="800" ht="20.25" customHeight="1">
      <c r="D800" s="51"/>
    </row>
    <row r="801" ht="20.25" customHeight="1">
      <c r="D801" s="51"/>
    </row>
    <row r="802" ht="20.25" customHeight="1">
      <c r="D802" s="51"/>
    </row>
    <row r="803" ht="20.25" customHeight="1">
      <c r="D803" s="51"/>
    </row>
    <row r="804" ht="20.25" customHeight="1">
      <c r="D804" s="51"/>
    </row>
    <row r="805" ht="20.25" customHeight="1">
      <c r="D805" s="51"/>
    </row>
    <row r="806" ht="20.25" customHeight="1">
      <c r="D806" s="51"/>
    </row>
    <row r="807" ht="20.25" customHeight="1">
      <c r="D807" s="51"/>
    </row>
    <row r="808" ht="20.25" customHeight="1">
      <c r="D808" s="51"/>
    </row>
    <row r="809" ht="20.25" customHeight="1">
      <c r="D809" s="51"/>
    </row>
    <row r="810" ht="20.25" customHeight="1">
      <c r="D810" s="51"/>
    </row>
    <row r="811" ht="20.25" customHeight="1">
      <c r="D811" s="51"/>
    </row>
    <row r="812" ht="20.25" customHeight="1">
      <c r="D812" s="51"/>
    </row>
    <row r="813" ht="20.25" customHeight="1">
      <c r="D813" s="51"/>
    </row>
    <row r="814" ht="20.25" customHeight="1">
      <c r="D814" s="51"/>
    </row>
    <row r="815" ht="20.25" customHeight="1">
      <c r="D815" s="51"/>
    </row>
    <row r="816" ht="20.25" customHeight="1">
      <c r="D816" s="51"/>
    </row>
    <row r="817" ht="20.25" customHeight="1">
      <c r="D817" s="51"/>
    </row>
    <row r="818" ht="20.25" customHeight="1">
      <c r="D818" s="51"/>
    </row>
    <row r="819" ht="20.25" customHeight="1">
      <c r="D819" s="51"/>
    </row>
    <row r="820" ht="20.25" customHeight="1">
      <c r="D820" s="51"/>
    </row>
    <row r="821" ht="20.25" customHeight="1">
      <c r="D821" s="51"/>
    </row>
    <row r="822" ht="20.25" customHeight="1">
      <c r="D822" s="51"/>
    </row>
    <row r="823" ht="20.25" customHeight="1">
      <c r="D823" s="51"/>
    </row>
    <row r="824" ht="20.25" customHeight="1">
      <c r="D824" s="51"/>
    </row>
    <row r="825" ht="20.25" customHeight="1">
      <c r="D825" s="51"/>
    </row>
    <row r="826" ht="20.25" customHeight="1">
      <c r="D826" s="51"/>
    </row>
    <row r="827" ht="20.25" customHeight="1">
      <c r="D827" s="51"/>
    </row>
    <row r="828" ht="20.25" customHeight="1">
      <c r="D828" s="51"/>
    </row>
    <row r="829" ht="20.25" customHeight="1">
      <c r="D829" s="51"/>
    </row>
    <row r="830" ht="20.25" customHeight="1">
      <c r="D830" s="51"/>
    </row>
    <row r="831" ht="20.25" customHeight="1">
      <c r="D831" s="51"/>
    </row>
    <row r="832" ht="20.25" customHeight="1">
      <c r="D832" s="51"/>
    </row>
    <row r="833" ht="20.25" customHeight="1">
      <c r="D833" s="51"/>
    </row>
    <row r="834" ht="20.25" customHeight="1">
      <c r="D834" s="51"/>
    </row>
    <row r="835" ht="20.25" customHeight="1">
      <c r="D835" s="51"/>
    </row>
    <row r="836" ht="20.25" customHeight="1">
      <c r="D836" s="51"/>
    </row>
    <row r="837" ht="20.25" customHeight="1">
      <c r="D837" s="51"/>
    </row>
    <row r="838" ht="20.25" customHeight="1">
      <c r="D838" s="51"/>
    </row>
    <row r="839" ht="20.25" customHeight="1">
      <c r="D839" s="51"/>
    </row>
    <row r="840" ht="20.25" customHeight="1">
      <c r="D840" s="51"/>
    </row>
    <row r="841" ht="20.25" customHeight="1">
      <c r="D841" s="51"/>
    </row>
    <row r="842" ht="20.25" customHeight="1">
      <c r="D842" s="51"/>
    </row>
    <row r="843" ht="20.25" customHeight="1">
      <c r="D843" s="51"/>
    </row>
    <row r="844" ht="20.25" customHeight="1">
      <c r="D844" s="51"/>
    </row>
    <row r="845" ht="20.25" customHeight="1">
      <c r="D845" s="51"/>
    </row>
    <row r="846" ht="20.25" customHeight="1">
      <c r="D846" s="51"/>
    </row>
    <row r="847" ht="20.25" customHeight="1">
      <c r="D847" s="51"/>
    </row>
    <row r="848" ht="20.25" customHeight="1">
      <c r="D848" s="51"/>
    </row>
    <row r="849" ht="20.25" customHeight="1">
      <c r="D849" s="51"/>
    </row>
    <row r="850" ht="20.25" customHeight="1">
      <c r="D850" s="51"/>
    </row>
    <row r="851" ht="20.25" customHeight="1">
      <c r="D851" s="51"/>
    </row>
    <row r="852" ht="20.25" customHeight="1">
      <c r="D852" s="51"/>
    </row>
    <row r="853" ht="20.25" customHeight="1">
      <c r="D853" s="51"/>
    </row>
    <row r="854" ht="20.25" customHeight="1">
      <c r="D854" s="51"/>
    </row>
    <row r="855" ht="20.25" customHeight="1">
      <c r="D855" s="51"/>
    </row>
    <row r="856" ht="20.25" customHeight="1">
      <c r="D856" s="51"/>
    </row>
    <row r="857" ht="20.25" customHeight="1">
      <c r="D857" s="51"/>
    </row>
    <row r="858" ht="20.25" customHeight="1">
      <c r="D858" s="51"/>
    </row>
    <row r="859" ht="20.25" customHeight="1">
      <c r="D859" s="51"/>
    </row>
    <row r="860" ht="20.25" customHeight="1">
      <c r="D860" s="51"/>
    </row>
    <row r="861" ht="20.25" customHeight="1">
      <c r="D861" s="51"/>
    </row>
    <row r="862" ht="20.25" customHeight="1">
      <c r="D862" s="51"/>
    </row>
    <row r="863" ht="20.25" customHeight="1">
      <c r="D863" s="51"/>
    </row>
    <row r="864" ht="20.25" customHeight="1">
      <c r="D864" s="51"/>
    </row>
    <row r="865" ht="20.25" customHeight="1">
      <c r="D865" s="51"/>
    </row>
    <row r="866" ht="20.25" customHeight="1">
      <c r="D866" s="51"/>
    </row>
    <row r="867" ht="20.25" customHeight="1">
      <c r="D867" s="51"/>
    </row>
    <row r="868" ht="20.25" customHeight="1">
      <c r="D868" s="51"/>
    </row>
    <row r="869" ht="20.25" customHeight="1">
      <c r="D869" s="51"/>
    </row>
    <row r="870" ht="20.25" customHeight="1">
      <c r="D870" s="51"/>
    </row>
    <row r="871" ht="20.25" customHeight="1">
      <c r="D871" s="51"/>
    </row>
    <row r="872" ht="20.25" customHeight="1">
      <c r="D872" s="51"/>
    </row>
    <row r="873" ht="20.25" customHeight="1">
      <c r="D873" s="51"/>
    </row>
    <row r="874" ht="20.25" customHeight="1">
      <c r="D874" s="51"/>
    </row>
    <row r="875" ht="20.25" customHeight="1">
      <c r="D875" s="51"/>
    </row>
    <row r="876" ht="20.25" customHeight="1">
      <c r="D876" s="51"/>
    </row>
    <row r="877" ht="20.25" customHeight="1">
      <c r="D877" s="51"/>
    </row>
    <row r="878" ht="20.25" customHeight="1">
      <c r="D878" s="51"/>
    </row>
    <row r="879" ht="20.25" customHeight="1">
      <c r="D879" s="51"/>
    </row>
    <row r="880" ht="20.25" customHeight="1">
      <c r="D880" s="51"/>
    </row>
    <row r="881" ht="20.25" customHeight="1">
      <c r="D881" s="51"/>
    </row>
    <row r="882" ht="20.25" customHeight="1">
      <c r="D882" s="51"/>
    </row>
    <row r="883" ht="20.25" customHeight="1">
      <c r="D883" s="51"/>
    </row>
    <row r="884" ht="20.25" customHeight="1">
      <c r="D884" s="51"/>
    </row>
    <row r="885" ht="20.25" customHeight="1">
      <c r="D885" s="51"/>
    </row>
    <row r="886" ht="20.25" customHeight="1">
      <c r="D886" s="51"/>
    </row>
    <row r="887" ht="20.25" customHeight="1">
      <c r="D887" s="51"/>
    </row>
    <row r="888" ht="20.25" customHeight="1">
      <c r="D888" s="51"/>
    </row>
    <row r="889" ht="20.25" customHeight="1">
      <c r="D889" s="51"/>
    </row>
    <row r="890" ht="20.25" customHeight="1">
      <c r="D890" s="51"/>
    </row>
    <row r="891" ht="20.25" customHeight="1">
      <c r="D891" s="51"/>
    </row>
    <row r="892" ht="20.25" customHeight="1">
      <c r="D892" s="51"/>
    </row>
    <row r="893" ht="20.25" customHeight="1">
      <c r="D893" s="51"/>
    </row>
    <row r="894" ht="20.25" customHeight="1">
      <c r="D894" s="51"/>
    </row>
    <row r="895" ht="20.25" customHeight="1">
      <c r="D895" s="51"/>
    </row>
    <row r="896" ht="20.25" customHeight="1">
      <c r="D896" s="51"/>
    </row>
    <row r="897" ht="20.25" customHeight="1">
      <c r="D897" s="51"/>
    </row>
    <row r="898" ht="20.25" customHeight="1">
      <c r="D898" s="51"/>
    </row>
    <row r="899" ht="20.25" customHeight="1">
      <c r="D899" s="51"/>
    </row>
    <row r="900" ht="20.25" customHeight="1">
      <c r="D900" s="51"/>
    </row>
    <row r="901" ht="20.25" customHeight="1">
      <c r="D901" s="51"/>
    </row>
    <row r="902" ht="20.25" customHeight="1">
      <c r="D902" s="51"/>
    </row>
    <row r="903" ht="20.25" customHeight="1">
      <c r="D903" s="51"/>
    </row>
    <row r="904" ht="20.25" customHeight="1">
      <c r="D904" s="51"/>
    </row>
    <row r="905" ht="20.25" customHeight="1">
      <c r="D905" s="51"/>
    </row>
    <row r="906" ht="20.25" customHeight="1">
      <c r="D906" s="51"/>
    </row>
    <row r="907" ht="20.25" customHeight="1">
      <c r="D907" s="51"/>
    </row>
    <row r="908" ht="20.25" customHeight="1">
      <c r="D908" s="51"/>
    </row>
    <row r="909" ht="20.25" customHeight="1">
      <c r="D909" s="51"/>
    </row>
    <row r="910" ht="20.25" customHeight="1">
      <c r="D910" s="51"/>
    </row>
    <row r="911" ht="20.25" customHeight="1">
      <c r="D911" s="51"/>
    </row>
    <row r="912" ht="20.25" customHeight="1">
      <c r="D912" s="51"/>
    </row>
    <row r="913" ht="20.25" customHeight="1">
      <c r="D913" s="51"/>
    </row>
    <row r="914" ht="20.25" customHeight="1">
      <c r="D914" s="51"/>
    </row>
    <row r="915" ht="20.25" customHeight="1">
      <c r="D915" s="51"/>
    </row>
    <row r="916" ht="20.25" customHeight="1">
      <c r="D916" s="51"/>
    </row>
    <row r="917" ht="20.25" customHeight="1">
      <c r="D917" s="51"/>
    </row>
    <row r="918" ht="20.25" customHeight="1">
      <c r="D918" s="51"/>
    </row>
    <row r="919" ht="20.25" customHeight="1">
      <c r="D919" s="51"/>
    </row>
    <row r="920" ht="20.25" customHeight="1">
      <c r="D920" s="51"/>
    </row>
    <row r="921" ht="20.25" customHeight="1">
      <c r="D921" s="51"/>
    </row>
    <row r="922" ht="20.25" customHeight="1">
      <c r="D922" s="51"/>
    </row>
    <row r="923" ht="20.25" customHeight="1">
      <c r="D923" s="51"/>
    </row>
    <row r="924" ht="20.25" customHeight="1">
      <c r="D924" s="51"/>
    </row>
    <row r="925" ht="20.25" customHeight="1">
      <c r="D925" s="51"/>
    </row>
    <row r="926" ht="20.25" customHeight="1">
      <c r="D926" s="51"/>
    </row>
    <row r="927" ht="20.25" customHeight="1">
      <c r="D927" s="51"/>
    </row>
    <row r="928" ht="20.25" customHeight="1">
      <c r="D928" s="51"/>
    </row>
    <row r="929" ht="20.25" customHeight="1">
      <c r="D929" s="51"/>
    </row>
    <row r="930" ht="20.25" customHeight="1">
      <c r="D930" s="51"/>
    </row>
    <row r="931" ht="20.25" customHeight="1">
      <c r="D931" s="51"/>
    </row>
    <row r="932" ht="20.25" customHeight="1">
      <c r="D932" s="51"/>
    </row>
    <row r="933" ht="20.25" customHeight="1">
      <c r="D933" s="51"/>
    </row>
    <row r="934" ht="20.25" customHeight="1">
      <c r="D934" s="51"/>
    </row>
    <row r="935" ht="20.25" customHeight="1">
      <c r="D935" s="51"/>
    </row>
    <row r="936" ht="20.25" customHeight="1">
      <c r="D936" s="51"/>
    </row>
    <row r="937" ht="20.25" customHeight="1">
      <c r="D937" s="51"/>
    </row>
    <row r="938" ht="20.25" customHeight="1">
      <c r="D938" s="51"/>
    </row>
    <row r="939" ht="20.25" customHeight="1">
      <c r="D939" s="51"/>
    </row>
    <row r="940" ht="20.25" customHeight="1">
      <c r="D940" s="51"/>
    </row>
    <row r="941" ht="20.25" customHeight="1">
      <c r="D941" s="51"/>
    </row>
    <row r="942" ht="20.25" customHeight="1">
      <c r="D942" s="51"/>
    </row>
    <row r="943" ht="20.25" customHeight="1">
      <c r="D943" s="51"/>
    </row>
    <row r="944" ht="20.25" customHeight="1">
      <c r="D944" s="51"/>
    </row>
    <row r="945" ht="20.25" customHeight="1">
      <c r="D945" s="51"/>
    </row>
    <row r="946" ht="20.25" customHeight="1">
      <c r="D946" s="51"/>
    </row>
    <row r="947" ht="20.25" customHeight="1">
      <c r="D947" s="51"/>
    </row>
    <row r="948" ht="20.25" customHeight="1">
      <c r="D948" s="51"/>
    </row>
    <row r="949" ht="20.25" customHeight="1">
      <c r="D949" s="51"/>
    </row>
    <row r="950" ht="20.25" customHeight="1">
      <c r="D950" s="51"/>
    </row>
    <row r="951" ht="20.25" customHeight="1">
      <c r="D951" s="51"/>
    </row>
    <row r="952" ht="20.25" customHeight="1">
      <c r="D952" s="51"/>
    </row>
    <row r="953" ht="20.25" customHeight="1">
      <c r="D953" s="51"/>
    </row>
    <row r="954" ht="20.25" customHeight="1">
      <c r="D954" s="51"/>
    </row>
    <row r="955" ht="20.25" customHeight="1">
      <c r="D955" s="51"/>
    </row>
    <row r="956" ht="20.25" customHeight="1">
      <c r="D956" s="51"/>
    </row>
    <row r="957" ht="20.25" customHeight="1">
      <c r="D957" s="51"/>
    </row>
    <row r="958" ht="20.25" customHeight="1">
      <c r="D958" s="51"/>
    </row>
    <row r="959" ht="20.25" customHeight="1">
      <c r="D959" s="51"/>
    </row>
    <row r="960" ht="20.25" customHeight="1">
      <c r="D960" s="51"/>
    </row>
    <row r="961" ht="20.25" customHeight="1">
      <c r="D961" s="51"/>
    </row>
    <row r="962" ht="20.25" customHeight="1">
      <c r="D962" s="51"/>
    </row>
    <row r="963" ht="20.25" customHeight="1">
      <c r="D963" s="51"/>
    </row>
    <row r="964" ht="20.25" customHeight="1">
      <c r="D964" s="51"/>
    </row>
    <row r="965" ht="20.25" customHeight="1">
      <c r="D965" s="51"/>
    </row>
    <row r="966" ht="20.25" customHeight="1">
      <c r="D966" s="51"/>
    </row>
    <row r="967" ht="20.25" customHeight="1">
      <c r="D967" s="51"/>
    </row>
    <row r="968" ht="20.25" customHeight="1">
      <c r="D968" s="51"/>
    </row>
    <row r="969" ht="20.25" customHeight="1">
      <c r="D969" s="51"/>
    </row>
    <row r="970" ht="20.25" customHeight="1">
      <c r="D970" s="51"/>
    </row>
    <row r="971" ht="20.25" customHeight="1">
      <c r="D971" s="51"/>
    </row>
    <row r="972" ht="20.25" customHeight="1">
      <c r="D972" s="51"/>
    </row>
    <row r="973" ht="20.25" customHeight="1">
      <c r="D973" s="51"/>
    </row>
    <row r="974" ht="20.25" customHeight="1">
      <c r="D974" s="51"/>
    </row>
    <row r="975" ht="20.25" customHeight="1">
      <c r="D975" s="51"/>
    </row>
    <row r="976" ht="20.25" customHeight="1">
      <c r="D976" s="51"/>
    </row>
    <row r="977" ht="20.25" customHeight="1">
      <c r="D977" s="51"/>
    </row>
    <row r="978" ht="20.25" customHeight="1">
      <c r="D978" s="51"/>
    </row>
    <row r="979" ht="20.25" customHeight="1">
      <c r="D979" s="51"/>
    </row>
    <row r="980" ht="20.25" customHeight="1">
      <c r="D980" s="51"/>
    </row>
    <row r="981" ht="20.25" customHeight="1">
      <c r="D981" s="51"/>
    </row>
    <row r="982" ht="20.25" customHeight="1">
      <c r="D982" s="51"/>
    </row>
    <row r="983" ht="20.25" customHeight="1">
      <c r="D983" s="51"/>
    </row>
    <row r="984" ht="20.25" customHeight="1">
      <c r="D984" s="51"/>
    </row>
    <row r="985" ht="20.25" customHeight="1">
      <c r="D985" s="51"/>
    </row>
    <row r="986" ht="20.25" customHeight="1">
      <c r="D986" s="51"/>
    </row>
    <row r="987" ht="20.25" customHeight="1">
      <c r="D987" s="51"/>
    </row>
    <row r="988" ht="20.25" customHeight="1">
      <c r="D988" s="51"/>
    </row>
    <row r="989" ht="20.25" customHeight="1">
      <c r="D989" s="51"/>
    </row>
    <row r="990" ht="20.25" customHeight="1">
      <c r="D990" s="51"/>
    </row>
    <row r="991" ht="20.25" customHeight="1">
      <c r="D991" s="51"/>
    </row>
    <row r="992" ht="20.25" customHeight="1">
      <c r="D992" s="51"/>
    </row>
    <row r="993" ht="20.25" customHeight="1">
      <c r="D993" s="51"/>
    </row>
    <row r="994" ht="20.25" customHeight="1">
      <c r="D994" s="51"/>
    </row>
    <row r="995" ht="20.25" customHeight="1">
      <c r="D995" s="51"/>
    </row>
    <row r="996" ht="20.25" customHeight="1">
      <c r="D996" s="51"/>
    </row>
    <row r="997" ht="20.25" customHeight="1">
      <c r="D997" s="51"/>
    </row>
    <row r="998" ht="20.25" customHeight="1">
      <c r="D998" s="51"/>
    </row>
    <row r="999" ht="20.25" customHeight="1">
      <c r="D999" s="51"/>
    </row>
    <row r="1000" ht="20.25" customHeight="1">
      <c r="D1000" s="51"/>
    </row>
  </sheetData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117" t="s">
        <v>216</v>
      </c>
      <c r="B1" s="118"/>
      <c r="C1" s="118"/>
      <c r="D1" s="118"/>
      <c r="E1" s="119"/>
      <c r="F1" s="120"/>
      <c r="G1" s="120"/>
      <c r="H1" s="120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23" t="s">
        <v>1</v>
      </c>
      <c r="B2" s="124" t="s">
        <v>225</v>
      </c>
      <c r="C2" s="124" t="s">
        <v>227</v>
      </c>
      <c r="D2" s="124" t="s">
        <v>228</v>
      </c>
      <c r="E2" s="125" t="s">
        <v>229</v>
      </c>
      <c r="F2" s="120"/>
      <c r="G2" s="120"/>
      <c r="H2" s="126"/>
    </row>
    <row r="3" ht="15.75" customHeight="1">
      <c r="A3" s="128" t="s">
        <v>231</v>
      </c>
      <c r="B3" s="129"/>
      <c r="C3" s="129"/>
      <c r="D3" s="130" t="s">
        <v>232</v>
      </c>
      <c r="E3" s="131" t="s">
        <v>232</v>
      </c>
      <c r="F3" s="120"/>
      <c r="G3" s="120"/>
      <c r="H3" s="120"/>
    </row>
    <row r="4" ht="15.75" customHeight="1">
      <c r="A4" s="132"/>
      <c r="B4" s="134"/>
      <c r="C4" s="134"/>
      <c r="D4" s="135" t="s">
        <v>232</v>
      </c>
      <c r="E4" s="136" t="s">
        <v>232</v>
      </c>
      <c r="F4" s="120"/>
      <c r="G4" s="120"/>
      <c r="H4" s="126"/>
    </row>
    <row r="5" ht="15.75" customHeight="1">
      <c r="A5" s="128" t="s">
        <v>240</v>
      </c>
      <c r="B5" s="129"/>
      <c r="C5" s="129"/>
      <c r="D5" s="137"/>
      <c r="E5" s="138"/>
      <c r="F5" s="120"/>
      <c r="G5" s="120"/>
      <c r="H5" s="126"/>
    </row>
    <row r="6" ht="15.75" customHeight="1">
      <c r="A6" s="132"/>
      <c r="B6" s="134"/>
      <c r="C6" s="134"/>
      <c r="D6" s="137"/>
      <c r="E6" s="138"/>
      <c r="F6" s="120"/>
      <c r="G6" s="120"/>
      <c r="H6" s="126"/>
    </row>
    <row r="7" ht="15.75" customHeight="1">
      <c r="A7" s="128" t="s">
        <v>243</v>
      </c>
      <c r="B7" s="140" t="s">
        <v>244</v>
      </c>
      <c r="C7" s="129"/>
      <c r="D7" s="130" t="s">
        <v>232</v>
      </c>
      <c r="E7" s="131" t="s">
        <v>232</v>
      </c>
      <c r="F7" s="120"/>
      <c r="G7" s="120"/>
      <c r="H7" s="126"/>
    </row>
    <row r="8" ht="15.75" customHeight="1">
      <c r="A8" s="132"/>
      <c r="B8" s="134"/>
      <c r="C8" s="134"/>
      <c r="D8" s="135" t="s">
        <v>232</v>
      </c>
      <c r="E8" s="136" t="s">
        <v>232</v>
      </c>
      <c r="F8" s="120"/>
      <c r="G8" s="120"/>
      <c r="H8" s="126"/>
    </row>
    <row r="9" ht="15.75" customHeight="1">
      <c r="A9" s="141" t="s">
        <v>249</v>
      </c>
      <c r="B9" s="140">
        <v>1999.0</v>
      </c>
      <c r="C9" s="140">
        <v>2299.0</v>
      </c>
      <c r="D9" s="140">
        <v>2599.0</v>
      </c>
      <c r="E9" s="143">
        <v>2899.0</v>
      </c>
      <c r="F9" s="120"/>
      <c r="G9" s="120"/>
      <c r="H9" s="126"/>
    </row>
    <row r="10" ht="15.75" customHeight="1">
      <c r="A10" s="144"/>
      <c r="B10" s="145">
        <v>2100.0</v>
      </c>
      <c r="C10" s="145">
        <v>2400.0</v>
      </c>
      <c r="D10" s="145">
        <v>2700.0</v>
      </c>
      <c r="E10" s="146">
        <v>3000.0</v>
      </c>
      <c r="F10" s="120"/>
      <c r="G10" s="120"/>
      <c r="H10" s="120"/>
    </row>
    <row r="11" ht="15.75" customHeight="1">
      <c r="A11" s="141" t="s">
        <v>252</v>
      </c>
      <c r="B11" s="140">
        <v>1999.0</v>
      </c>
      <c r="C11" s="140">
        <v>2299.0</v>
      </c>
      <c r="D11" s="140">
        <v>2599.0</v>
      </c>
      <c r="E11" s="143">
        <v>2899.0</v>
      </c>
      <c r="F11" s="120"/>
      <c r="G11" s="120"/>
      <c r="H11" s="120"/>
    </row>
    <row r="12" ht="15.75" customHeight="1">
      <c r="A12" s="132"/>
      <c r="B12" s="145">
        <v>2100.0</v>
      </c>
      <c r="C12" s="145">
        <v>2400.0</v>
      </c>
      <c r="D12" s="145">
        <v>2700.0</v>
      </c>
      <c r="E12" s="146">
        <v>3000.0</v>
      </c>
      <c r="F12" s="120"/>
      <c r="G12" s="120"/>
      <c r="H12" s="120"/>
    </row>
    <row r="13" ht="15.75" customHeight="1">
      <c r="A13" s="147"/>
      <c r="B13" s="129"/>
      <c r="C13" s="129"/>
      <c r="D13" s="129"/>
      <c r="E13" s="148"/>
      <c r="F13" s="120"/>
      <c r="G13" s="120"/>
      <c r="H13" s="120"/>
    </row>
    <row r="14" ht="15.75" customHeight="1">
      <c r="A14" s="132"/>
      <c r="B14" s="134"/>
      <c r="C14" s="134"/>
      <c r="D14" s="134"/>
      <c r="E14" s="150"/>
      <c r="F14" s="120"/>
      <c r="G14" s="120"/>
      <c r="H14" s="120"/>
    </row>
    <row r="15" ht="15.75" customHeight="1">
      <c r="A15" s="151" t="s">
        <v>255</v>
      </c>
      <c r="B15" s="140">
        <v>1999.0</v>
      </c>
      <c r="C15" s="140">
        <v>2299.0</v>
      </c>
      <c r="D15" s="152">
        <v>2599.0</v>
      </c>
      <c r="E15" s="131" t="s">
        <v>232</v>
      </c>
      <c r="F15" s="120"/>
      <c r="G15" s="120"/>
      <c r="H15" s="120"/>
    </row>
    <row r="16" ht="15.75" customHeight="1">
      <c r="A16" s="144"/>
      <c r="B16" s="145">
        <v>2100.0</v>
      </c>
      <c r="C16" s="145">
        <v>2400.0</v>
      </c>
      <c r="D16" s="153">
        <v>2700.0</v>
      </c>
      <c r="E16" s="136" t="s">
        <v>232</v>
      </c>
      <c r="F16" s="154"/>
      <c r="G16" s="120"/>
      <c r="H16" s="120"/>
    </row>
    <row r="17" ht="15.75" customHeight="1">
      <c r="A17" s="128" t="s">
        <v>260</v>
      </c>
      <c r="B17" s="140">
        <v>1999.0</v>
      </c>
      <c r="C17" s="140">
        <v>2299.0</v>
      </c>
      <c r="D17" s="140">
        <v>2599.0</v>
      </c>
      <c r="E17" s="148"/>
      <c r="F17" s="154"/>
      <c r="G17" s="120"/>
      <c r="H17" s="120"/>
    </row>
    <row r="18" ht="15.75" customHeight="1">
      <c r="A18" s="132"/>
      <c r="B18" s="145">
        <v>2100.0</v>
      </c>
      <c r="C18" s="145">
        <v>2400.0</v>
      </c>
      <c r="D18" s="145">
        <v>2700.0</v>
      </c>
      <c r="E18" s="155"/>
      <c r="F18" s="154"/>
      <c r="G18" s="120"/>
      <c r="H18" s="120"/>
    </row>
    <row r="19" ht="15.75" customHeight="1">
      <c r="A19" s="156" t="s">
        <v>43</v>
      </c>
      <c r="B19" s="129"/>
      <c r="C19" s="129"/>
      <c r="D19" s="129"/>
      <c r="E19" s="148"/>
      <c r="F19" s="154"/>
      <c r="G19" s="120"/>
      <c r="H19" s="120"/>
    </row>
    <row r="20" ht="15.75" customHeight="1">
      <c r="A20" s="157"/>
      <c r="B20" s="134"/>
      <c r="C20" s="134"/>
      <c r="D20" s="134"/>
      <c r="E20" s="155"/>
      <c r="F20" s="154"/>
      <c r="G20" s="120"/>
      <c r="H20" s="120"/>
    </row>
    <row r="21" ht="15.75" customHeight="1">
      <c r="A21" s="154"/>
      <c r="B21" s="154"/>
      <c r="C21" s="154"/>
      <c r="D21" s="154"/>
      <c r="E21" s="154"/>
      <c r="F21" s="154"/>
      <c r="G21" s="120"/>
      <c r="H21" s="120"/>
    </row>
    <row r="22" ht="15.75" customHeight="1">
      <c r="A22" s="117" t="s">
        <v>267</v>
      </c>
      <c r="B22" s="118"/>
      <c r="C22" s="118"/>
      <c r="D22" s="118"/>
      <c r="E22" s="118"/>
      <c r="F22" s="119"/>
      <c r="G22" s="120"/>
      <c r="H22" s="120"/>
    </row>
    <row r="23" ht="15.75" customHeight="1">
      <c r="A23" s="123" t="s">
        <v>1</v>
      </c>
      <c r="B23" s="158" t="s">
        <v>225</v>
      </c>
      <c r="C23" s="158" t="s">
        <v>227</v>
      </c>
      <c r="D23" s="158" t="s">
        <v>228</v>
      </c>
      <c r="E23" s="159" t="s">
        <v>229</v>
      </c>
      <c r="F23" s="160" t="s">
        <v>268</v>
      </c>
      <c r="G23" s="120"/>
      <c r="H23" s="120"/>
    </row>
    <row r="24" ht="15.75" customHeight="1">
      <c r="A24" s="161" t="s">
        <v>52</v>
      </c>
      <c r="B24" s="162">
        <v>1800.0</v>
      </c>
      <c r="C24" s="162">
        <f t="shared" ref="C24:C33" si="1">B24+350</f>
        <v>2150</v>
      </c>
      <c r="D24" s="162">
        <f t="shared" ref="D24:D33" si="2">B24+700</f>
        <v>2500</v>
      </c>
      <c r="E24" s="163"/>
      <c r="F24" s="131"/>
      <c r="G24" s="120"/>
      <c r="H24" s="120"/>
    </row>
    <row r="25" ht="15.75" customHeight="1">
      <c r="A25" s="164"/>
      <c r="B25" s="165">
        <v>2050.0</v>
      </c>
      <c r="C25" s="165">
        <f t="shared" si="1"/>
        <v>2400</v>
      </c>
      <c r="D25" s="165">
        <f t="shared" si="2"/>
        <v>2750</v>
      </c>
      <c r="E25" s="166"/>
      <c r="F25" s="167"/>
      <c r="G25" s="154"/>
      <c r="H25" s="154"/>
    </row>
    <row r="26" ht="15.75" customHeight="1">
      <c r="A26" s="156" t="s">
        <v>231</v>
      </c>
      <c r="B26" s="129">
        <v>1800.0</v>
      </c>
      <c r="C26" s="129">
        <f t="shared" si="1"/>
        <v>2150</v>
      </c>
      <c r="D26" s="129">
        <f t="shared" si="2"/>
        <v>2500</v>
      </c>
      <c r="E26" s="134">
        <f t="shared" ref="E26:E33" si="3">B26+1050</f>
        <v>2850</v>
      </c>
      <c r="F26" s="148">
        <f t="shared" ref="F26:F33" si="4">B26+1400</f>
        <v>3200</v>
      </c>
      <c r="G26" s="154"/>
      <c r="H26" s="154"/>
    </row>
    <row r="27" ht="15.75" customHeight="1">
      <c r="A27" s="157"/>
      <c r="B27" s="165">
        <v>2050.0</v>
      </c>
      <c r="C27" s="134">
        <f t="shared" si="1"/>
        <v>2400</v>
      </c>
      <c r="D27" s="134">
        <f t="shared" si="2"/>
        <v>2750</v>
      </c>
      <c r="E27" s="134">
        <f t="shared" si="3"/>
        <v>3100</v>
      </c>
      <c r="F27" s="155">
        <f t="shared" si="4"/>
        <v>3450</v>
      </c>
      <c r="G27" s="154"/>
      <c r="H27" s="120"/>
    </row>
    <row r="28" ht="15.75" customHeight="1">
      <c r="A28" s="156" t="s">
        <v>252</v>
      </c>
      <c r="B28" s="129">
        <v>2600.0</v>
      </c>
      <c r="C28" s="129">
        <f t="shared" si="1"/>
        <v>2950</v>
      </c>
      <c r="D28" s="129">
        <f t="shared" si="2"/>
        <v>3300</v>
      </c>
      <c r="E28" s="129">
        <f t="shared" si="3"/>
        <v>3650</v>
      </c>
      <c r="F28" s="148">
        <f t="shared" si="4"/>
        <v>4000</v>
      </c>
      <c r="G28" s="154"/>
      <c r="H28" s="120"/>
    </row>
    <row r="29" ht="15.75" customHeight="1">
      <c r="A29" s="157"/>
      <c r="B29" s="134">
        <v>2850.0</v>
      </c>
      <c r="C29" s="134">
        <f t="shared" si="1"/>
        <v>3200</v>
      </c>
      <c r="D29" s="134">
        <f t="shared" si="2"/>
        <v>3550</v>
      </c>
      <c r="E29" s="134">
        <f t="shared" si="3"/>
        <v>3900</v>
      </c>
      <c r="F29" s="155">
        <f t="shared" si="4"/>
        <v>4250</v>
      </c>
      <c r="G29" s="154"/>
      <c r="H29" s="154"/>
    </row>
    <row r="30" ht="15.75" customHeight="1">
      <c r="A30" s="156" t="s">
        <v>43</v>
      </c>
      <c r="B30" s="129">
        <v>2600.0</v>
      </c>
      <c r="C30" s="129">
        <f t="shared" si="1"/>
        <v>2950</v>
      </c>
      <c r="D30" s="129">
        <f t="shared" si="2"/>
        <v>3300</v>
      </c>
      <c r="E30" s="129">
        <f t="shared" si="3"/>
        <v>3650</v>
      </c>
      <c r="F30" s="148">
        <f t="shared" si="4"/>
        <v>4000</v>
      </c>
      <c r="G30" s="154"/>
      <c r="H30" s="154"/>
    </row>
    <row r="31" ht="15.75" customHeight="1">
      <c r="A31" s="157"/>
      <c r="B31" s="134">
        <v>2850.0</v>
      </c>
      <c r="C31" s="134">
        <f t="shared" si="1"/>
        <v>3200</v>
      </c>
      <c r="D31" s="134">
        <f t="shared" si="2"/>
        <v>3550</v>
      </c>
      <c r="E31" s="134">
        <f t="shared" si="3"/>
        <v>3900</v>
      </c>
      <c r="F31" s="155">
        <f t="shared" si="4"/>
        <v>4250</v>
      </c>
      <c r="G31" s="154"/>
      <c r="H31" s="154"/>
    </row>
    <row r="32" ht="15.75" customHeight="1">
      <c r="A32" s="168" t="s">
        <v>249</v>
      </c>
      <c r="B32" s="129">
        <v>2600.0</v>
      </c>
      <c r="C32" s="129">
        <f t="shared" si="1"/>
        <v>2950</v>
      </c>
      <c r="D32" s="129">
        <f t="shared" si="2"/>
        <v>3300</v>
      </c>
      <c r="E32" s="129">
        <f t="shared" si="3"/>
        <v>3650</v>
      </c>
      <c r="F32" s="148">
        <f t="shared" si="4"/>
        <v>4000</v>
      </c>
      <c r="G32" s="154"/>
      <c r="H32" s="154"/>
    </row>
    <row r="33" ht="15.75" customHeight="1">
      <c r="A33" s="169"/>
      <c r="B33" s="134">
        <v>2850.0</v>
      </c>
      <c r="C33" s="134">
        <f t="shared" si="1"/>
        <v>3200</v>
      </c>
      <c r="D33" s="134">
        <f t="shared" si="2"/>
        <v>3550</v>
      </c>
      <c r="E33" s="134">
        <f t="shared" si="3"/>
        <v>3900</v>
      </c>
      <c r="F33" s="155">
        <f t="shared" si="4"/>
        <v>4250</v>
      </c>
      <c r="G33" s="154"/>
      <c r="H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</row>
    <row r="35" ht="15.75" customHeight="1">
      <c r="A35" s="170" t="s">
        <v>285</v>
      </c>
      <c r="B35" s="118"/>
      <c r="C35" s="118"/>
      <c r="D35" s="118"/>
      <c r="E35" s="118"/>
      <c r="F35" s="118"/>
      <c r="G35" s="118"/>
      <c r="H35" s="119"/>
    </row>
    <row r="36" ht="15.75" customHeight="1">
      <c r="A36" s="171" t="s">
        <v>1</v>
      </c>
      <c r="B36" s="172" t="s">
        <v>225</v>
      </c>
      <c r="C36" s="172" t="s">
        <v>227</v>
      </c>
      <c r="D36" s="172" t="s">
        <v>228</v>
      </c>
      <c r="E36" s="172" t="s">
        <v>229</v>
      </c>
      <c r="F36" s="172" t="s">
        <v>268</v>
      </c>
      <c r="G36" s="172" t="s">
        <v>288</v>
      </c>
      <c r="H36" s="172" t="s">
        <v>289</v>
      </c>
    </row>
    <row r="37" ht="15.75" customHeight="1">
      <c r="A37" s="173" t="s">
        <v>290</v>
      </c>
      <c r="B37" s="174">
        <v>2500.0</v>
      </c>
      <c r="C37" s="175">
        <v>2800.0</v>
      </c>
      <c r="D37" s="175">
        <v>3100.0</v>
      </c>
      <c r="E37" s="176">
        <v>3600.0</v>
      </c>
      <c r="F37" s="177" t="s">
        <v>232</v>
      </c>
      <c r="G37" s="177" t="s">
        <v>232</v>
      </c>
      <c r="H37" s="177" t="s">
        <v>232</v>
      </c>
    </row>
    <row r="38" ht="15.75" customHeight="1">
      <c r="A38" s="178"/>
      <c r="B38" s="134">
        <v>2750.0</v>
      </c>
      <c r="C38" s="145">
        <v>3050.0</v>
      </c>
      <c r="D38" s="145">
        <v>3350.0</v>
      </c>
      <c r="E38" s="179">
        <v>3650.0</v>
      </c>
      <c r="F38" s="135" t="s">
        <v>232</v>
      </c>
      <c r="G38" s="135" t="s">
        <v>232</v>
      </c>
      <c r="H38" s="135" t="s">
        <v>232</v>
      </c>
    </row>
    <row r="39" ht="15.75" customHeight="1">
      <c r="A39" s="128" t="s">
        <v>294</v>
      </c>
      <c r="B39" s="181">
        <v>2600.0</v>
      </c>
      <c r="C39" s="181">
        <v>2600.0</v>
      </c>
      <c r="D39" s="134">
        <v>2850.0</v>
      </c>
      <c r="E39" s="181">
        <f t="shared" ref="E39:E42" si="5">D39+350</f>
        <v>3200</v>
      </c>
      <c r="F39" s="181">
        <f t="shared" ref="F39:F42" si="6">D39+700</f>
        <v>3550</v>
      </c>
      <c r="G39" s="177" t="s">
        <v>232</v>
      </c>
      <c r="H39" s="182" t="s">
        <v>232</v>
      </c>
    </row>
    <row r="40" ht="15.75" customHeight="1">
      <c r="A40" s="132"/>
      <c r="B40" s="134">
        <v>2850.0</v>
      </c>
      <c r="C40" s="134">
        <v>2850.0</v>
      </c>
      <c r="D40" s="134">
        <v>2850.0</v>
      </c>
      <c r="E40" s="134">
        <f t="shared" si="5"/>
        <v>3200</v>
      </c>
      <c r="F40" s="134">
        <f t="shared" si="6"/>
        <v>3550</v>
      </c>
      <c r="G40" s="135" t="s">
        <v>232</v>
      </c>
      <c r="H40" s="183" t="s">
        <v>232</v>
      </c>
    </row>
    <row r="41" ht="15.75" customHeight="1">
      <c r="A41" s="128" t="s">
        <v>301</v>
      </c>
      <c r="B41" s="129">
        <v>2700.0</v>
      </c>
      <c r="C41" s="129">
        <v>2700.0</v>
      </c>
      <c r="D41" s="129">
        <v>2700.0</v>
      </c>
      <c r="E41" s="129">
        <f t="shared" si="5"/>
        <v>3050</v>
      </c>
      <c r="F41" s="129">
        <f t="shared" si="6"/>
        <v>3400</v>
      </c>
      <c r="G41" s="129">
        <f t="shared" ref="G41:G42" si="7">D41+1050</f>
        <v>3750</v>
      </c>
      <c r="H41" s="129">
        <f t="shared" ref="H41:H42" si="8">D41+1400</f>
        <v>4100</v>
      </c>
    </row>
    <row r="42" ht="15.75" customHeight="1">
      <c r="A42" s="132"/>
      <c r="B42" s="134">
        <v>2950.0</v>
      </c>
      <c r="C42" s="134">
        <v>2950.0</v>
      </c>
      <c r="D42" s="134">
        <v>2950.0</v>
      </c>
      <c r="E42" s="134">
        <f t="shared" si="5"/>
        <v>3300</v>
      </c>
      <c r="F42" s="134">
        <f t="shared" si="6"/>
        <v>3650</v>
      </c>
      <c r="G42" s="134">
        <f t="shared" si="7"/>
        <v>4000</v>
      </c>
      <c r="H42" s="134">
        <f t="shared" si="8"/>
        <v>4350</v>
      </c>
    </row>
    <row r="43" ht="15.75" customHeight="1">
      <c r="A43" s="185" t="s">
        <v>306</v>
      </c>
      <c r="B43" s="140">
        <v>3500.0</v>
      </c>
      <c r="C43" s="140">
        <v>3800.0</v>
      </c>
      <c r="D43" s="140">
        <v>4100.0</v>
      </c>
      <c r="E43" s="145">
        <v>4400.0</v>
      </c>
      <c r="F43" s="140">
        <v>4700.0</v>
      </c>
      <c r="G43" s="152">
        <v>5000.0</v>
      </c>
      <c r="H43" s="152">
        <v>5300.0</v>
      </c>
    </row>
    <row r="44" ht="15.75" customHeight="1">
      <c r="A44" s="132"/>
      <c r="B44" s="145">
        <v>3950.0</v>
      </c>
      <c r="C44" s="145">
        <v>4250.0</v>
      </c>
      <c r="D44" s="145">
        <v>4550.0</v>
      </c>
      <c r="E44" s="145">
        <v>4850.0</v>
      </c>
      <c r="F44" s="145">
        <v>5150.0</v>
      </c>
      <c r="G44" s="153">
        <v>5450.0</v>
      </c>
      <c r="H44" s="153">
        <v>5750.0</v>
      </c>
    </row>
    <row r="45" ht="15.75" customHeight="1">
      <c r="A45" s="186" t="s">
        <v>307</v>
      </c>
      <c r="B45" s="129">
        <v>3000.0</v>
      </c>
      <c r="C45" s="129">
        <v>3000.0</v>
      </c>
      <c r="D45" s="129">
        <v>3000.0</v>
      </c>
      <c r="E45" s="129">
        <v>3350.0</v>
      </c>
      <c r="F45" s="129">
        <f t="shared" ref="F45:F48" si="9">D45+700</f>
        <v>3700</v>
      </c>
      <c r="G45" s="129">
        <f t="shared" ref="G45:G48" si="10">D45+1050</f>
        <v>4050</v>
      </c>
      <c r="H45" s="129">
        <f t="shared" ref="H45:H48" si="11">D45+1400</f>
        <v>4400</v>
      </c>
    </row>
    <row r="46" ht="15.75" customHeight="1">
      <c r="A46" s="178"/>
      <c r="B46" s="134">
        <v>3250.0</v>
      </c>
      <c r="C46" s="134">
        <v>3250.0</v>
      </c>
      <c r="D46" s="134">
        <v>3250.0</v>
      </c>
      <c r="E46" s="134">
        <f>D46+350</f>
        <v>3600</v>
      </c>
      <c r="F46" s="134">
        <f t="shared" si="9"/>
        <v>3950</v>
      </c>
      <c r="G46" s="134">
        <f t="shared" si="10"/>
        <v>4300</v>
      </c>
      <c r="H46" s="134">
        <f t="shared" si="11"/>
        <v>4650</v>
      </c>
    </row>
    <row r="47" ht="15.75" customHeight="1">
      <c r="A47" s="188" t="s">
        <v>260</v>
      </c>
      <c r="B47" s="129">
        <v>3000.0</v>
      </c>
      <c r="C47" s="129">
        <v>3000.0</v>
      </c>
      <c r="D47" s="129">
        <v>3000.0</v>
      </c>
      <c r="E47" s="129">
        <v>3350.0</v>
      </c>
      <c r="F47" s="129">
        <f t="shared" si="9"/>
        <v>3700</v>
      </c>
      <c r="G47" s="129">
        <f t="shared" si="10"/>
        <v>4050</v>
      </c>
      <c r="H47" s="129">
        <f t="shared" si="11"/>
        <v>4400</v>
      </c>
    </row>
    <row r="48" ht="15.75" customHeight="1">
      <c r="A48" s="178"/>
      <c r="B48" s="134">
        <v>3250.0</v>
      </c>
      <c r="C48" s="134">
        <v>3250.0</v>
      </c>
      <c r="D48" s="134">
        <v>3250.0</v>
      </c>
      <c r="E48" s="134">
        <f>D48+350</f>
        <v>3600</v>
      </c>
      <c r="F48" s="134">
        <f t="shared" si="9"/>
        <v>3950</v>
      </c>
      <c r="G48" s="134">
        <f t="shared" si="10"/>
        <v>4300</v>
      </c>
      <c r="H48" s="134">
        <f t="shared" si="11"/>
        <v>4650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9:A10"/>
    <mergeCell ref="A15:A16"/>
    <mergeCell ref="A22:F22"/>
    <mergeCell ref="A32:A33"/>
    <mergeCell ref="A35:H35"/>
  </mergeCells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12.5"/>
    <col customWidth="1" min="4" max="4" width="15.88"/>
    <col customWidth="1" min="5" max="26" width="12.5"/>
  </cols>
  <sheetData>
    <row r="1" ht="15.75" customHeight="1">
      <c r="A1" s="12"/>
      <c r="B1" s="12" t="s">
        <v>366</v>
      </c>
      <c r="C1" s="12" t="s">
        <v>367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2" t="s">
        <v>373</v>
      </c>
      <c r="B2" s="200">
        <v>300.0</v>
      </c>
      <c r="C2" s="12"/>
      <c r="D2" s="201"/>
    </row>
    <row r="3" ht="15.75" customHeight="1">
      <c r="D3" s="202"/>
      <c r="E3" s="203"/>
    </row>
    <row r="4" ht="15.75" customHeight="1">
      <c r="A4" s="204" t="s">
        <v>376</v>
      </c>
      <c r="B4" s="205"/>
      <c r="D4" s="202"/>
      <c r="E4" s="203"/>
    </row>
    <row r="5" ht="15.75" customHeight="1">
      <c r="A5" s="206">
        <v>0.5416666666666666</v>
      </c>
      <c r="B5" s="207">
        <v>300.0</v>
      </c>
      <c r="D5" s="202"/>
      <c r="E5" s="203"/>
    </row>
    <row r="6" ht="15.75" customHeight="1">
      <c r="A6" s="206">
        <v>0.5833333333333334</v>
      </c>
      <c r="B6" s="208">
        <v>250.0</v>
      </c>
      <c r="D6" s="201"/>
    </row>
    <row r="7" ht="15.75" customHeight="1">
      <c r="A7" s="206">
        <v>0.6041666666666666</v>
      </c>
      <c r="B7" s="207" t="s">
        <v>377</v>
      </c>
      <c r="D7" s="202"/>
      <c r="E7" s="203"/>
    </row>
    <row r="8" ht="15.75" customHeight="1">
      <c r="A8" s="209" t="s">
        <v>378</v>
      </c>
      <c r="B8" s="210"/>
      <c r="D8" s="202"/>
      <c r="E8" s="203"/>
    </row>
    <row r="9" ht="15.75" customHeight="1">
      <c r="A9" s="206">
        <v>0.4895833333333333</v>
      </c>
      <c r="B9" s="207" t="s">
        <v>377</v>
      </c>
      <c r="D9" s="202"/>
      <c r="E9" s="203"/>
    </row>
    <row r="10" ht="15.75" customHeight="1">
      <c r="A10" s="206">
        <v>0.5</v>
      </c>
      <c r="B10" s="208">
        <v>300.0</v>
      </c>
      <c r="D10" s="202"/>
      <c r="E10" s="203"/>
    </row>
    <row r="11" ht="15.75" customHeight="1">
      <c r="A11" s="206">
        <v>0.5416666666666666</v>
      </c>
      <c r="B11" s="207">
        <v>300.0</v>
      </c>
    </row>
    <row r="12" ht="15.75" customHeight="1">
      <c r="A12" s="211">
        <v>0.5833333333333334</v>
      </c>
      <c r="B12" s="212">
        <v>500.0</v>
      </c>
    </row>
    <row r="13" ht="15.75" customHeight="1"/>
    <row r="14" ht="15.75" customHeight="1">
      <c r="A14" s="12" t="s">
        <v>384</v>
      </c>
      <c r="B14" s="213">
        <v>1500.0</v>
      </c>
    </row>
    <row r="15" ht="15.75" customHeight="1">
      <c r="A15" s="12" t="s">
        <v>387</v>
      </c>
      <c r="B15" s="213">
        <v>1500.0</v>
      </c>
    </row>
    <row r="16" ht="15.75" customHeight="1">
      <c r="A16" s="12"/>
      <c r="B16" s="200"/>
    </row>
    <row r="17" ht="15.75" customHeight="1">
      <c r="B17" s="12" t="s">
        <v>389</v>
      </c>
      <c r="C17" s="12" t="s">
        <v>367</v>
      </c>
    </row>
    <row r="18" ht="15.75" customHeight="1">
      <c r="A18" s="12" t="s">
        <v>391</v>
      </c>
      <c r="B18" s="12">
        <v>100.0</v>
      </c>
      <c r="C18" s="12">
        <v>50.0</v>
      </c>
    </row>
    <row r="19" ht="15.75" customHeight="1">
      <c r="A19" s="12" t="s">
        <v>392</v>
      </c>
      <c r="B19" s="12">
        <v>50.0</v>
      </c>
      <c r="C19" s="12">
        <v>25.0</v>
      </c>
    </row>
    <row r="20" ht="15.75" customHeight="1">
      <c r="A20" s="12" t="s">
        <v>393</v>
      </c>
      <c r="B20" s="12">
        <v>50.0</v>
      </c>
      <c r="C20" s="12">
        <v>25.0</v>
      </c>
    </row>
    <row r="21" ht="15.75" customHeight="1">
      <c r="A21" s="12" t="s">
        <v>394</v>
      </c>
      <c r="B21" s="12">
        <v>15.0</v>
      </c>
      <c r="C21" s="12">
        <v>8.0</v>
      </c>
    </row>
    <row r="22" ht="15.75" customHeight="1"/>
    <row r="23" ht="15.75" customHeight="1">
      <c r="A23" s="214" t="s">
        <v>395</v>
      </c>
      <c r="B23" s="215"/>
      <c r="C23" s="215"/>
      <c r="D23" s="216"/>
    </row>
    <row r="24" ht="15.75" customHeight="1">
      <c r="A24" s="18"/>
      <c r="B24" s="18" t="s">
        <v>397</v>
      </c>
      <c r="C24" s="18" t="s">
        <v>398</v>
      </c>
      <c r="D24" s="18" t="s">
        <v>399</v>
      </c>
    </row>
    <row r="25" ht="15.75" customHeight="1">
      <c r="A25" s="18" t="s">
        <v>72</v>
      </c>
      <c r="B25" s="18">
        <v>200.0</v>
      </c>
      <c r="C25" s="18" t="s">
        <v>400</v>
      </c>
      <c r="D25" s="18">
        <v>350.0</v>
      </c>
    </row>
    <row r="26" ht="15.75" customHeight="1">
      <c r="A26" s="18" t="s">
        <v>401</v>
      </c>
      <c r="B26" s="18">
        <v>250.0</v>
      </c>
      <c r="C26" s="18" t="s">
        <v>400</v>
      </c>
      <c r="D26" s="18">
        <v>400.0</v>
      </c>
    </row>
    <row r="27" ht="15.75" customHeight="1">
      <c r="A27" s="18" t="s">
        <v>405</v>
      </c>
      <c r="B27" s="18">
        <v>300.0</v>
      </c>
      <c r="C27" s="18" t="s">
        <v>400</v>
      </c>
      <c r="D27" s="18">
        <v>600.0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2:E2"/>
    <mergeCell ref="A4:B4"/>
    <mergeCell ref="D6:E6"/>
    <mergeCell ref="A8:B8"/>
    <mergeCell ref="A23:D23"/>
  </mergeCells>
  <printOptions/>
  <pageMargins bottom="0.0" footer="0.0" header="0.0" left="0.0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20.5"/>
    <col customWidth="1" min="3" max="3" width="15.13"/>
    <col customWidth="1" min="4" max="4" width="15.0"/>
    <col customWidth="1" min="5" max="5" width="23.63"/>
    <col customWidth="1" min="6" max="6" width="34.13"/>
    <col customWidth="1" min="7" max="7" width="26.88"/>
    <col customWidth="1" min="8" max="8" width="15.63"/>
  </cols>
  <sheetData>
    <row r="1">
      <c r="A1" s="222" t="s">
        <v>438</v>
      </c>
      <c r="B1" s="223" t="s">
        <v>440</v>
      </c>
      <c r="C1" s="224" t="s">
        <v>441</v>
      </c>
      <c r="D1" s="223" t="s">
        <v>444</v>
      </c>
      <c r="E1" s="223" t="s">
        <v>446</v>
      </c>
      <c r="F1" s="223" t="s">
        <v>447</v>
      </c>
      <c r="G1" s="226" t="s">
        <v>448</v>
      </c>
      <c r="H1" s="227" t="s">
        <v>449</v>
      </c>
    </row>
    <row r="2">
      <c r="A2" s="229" t="s">
        <v>426</v>
      </c>
      <c r="B2" s="230">
        <v>45778.0</v>
      </c>
      <c r="C2" s="229" t="s">
        <v>451</v>
      </c>
      <c r="D2" s="229" t="s">
        <v>452</v>
      </c>
      <c r="E2" s="229" t="s">
        <v>424</v>
      </c>
      <c r="F2" s="231" t="s">
        <v>454</v>
      </c>
      <c r="G2" s="232" t="s">
        <v>455</v>
      </c>
      <c r="H2" s="232"/>
    </row>
    <row r="3">
      <c r="A3" s="229" t="s">
        <v>456</v>
      </c>
      <c r="B3" s="230">
        <v>45772.0</v>
      </c>
      <c r="C3" s="229" t="s">
        <v>451</v>
      </c>
      <c r="D3" s="229" t="s">
        <v>457</v>
      </c>
      <c r="E3" s="229" t="s">
        <v>459</v>
      </c>
      <c r="F3" s="234" t="s">
        <v>460</v>
      </c>
      <c r="G3" s="232" t="s">
        <v>463</v>
      </c>
      <c r="H3" s="232"/>
    </row>
    <row r="4">
      <c r="A4" s="229" t="s">
        <v>464</v>
      </c>
      <c r="B4" s="230">
        <v>45767.0</v>
      </c>
      <c r="C4" s="229" t="s">
        <v>451</v>
      </c>
      <c r="D4" s="229" t="s">
        <v>457</v>
      </c>
      <c r="E4" s="229" t="s">
        <v>465</v>
      </c>
      <c r="F4" s="234" t="s">
        <v>466</v>
      </c>
      <c r="G4" s="232" t="s">
        <v>463</v>
      </c>
      <c r="H4" s="232"/>
    </row>
    <row r="5">
      <c r="A5" s="229" t="s">
        <v>469</v>
      </c>
      <c r="B5" s="230">
        <v>45767.0</v>
      </c>
      <c r="C5" s="229" t="s">
        <v>451</v>
      </c>
      <c r="D5" s="229" t="s">
        <v>457</v>
      </c>
      <c r="E5" s="229" t="s">
        <v>470</v>
      </c>
      <c r="F5" s="229"/>
      <c r="G5" s="232" t="s">
        <v>455</v>
      </c>
      <c r="H5" s="232"/>
    </row>
    <row r="6">
      <c r="A6" s="229" t="s">
        <v>471</v>
      </c>
      <c r="B6" s="230">
        <v>45772.0</v>
      </c>
      <c r="C6" s="229" t="s">
        <v>451</v>
      </c>
      <c r="D6" s="229" t="s">
        <v>457</v>
      </c>
      <c r="E6" s="229" t="s">
        <v>472</v>
      </c>
      <c r="F6" s="235" t="s">
        <v>473</v>
      </c>
      <c r="G6" s="232" t="s">
        <v>455</v>
      </c>
      <c r="H6" s="232"/>
    </row>
    <row r="7">
      <c r="A7" s="229" t="s">
        <v>474</v>
      </c>
      <c r="B7" s="230">
        <v>45748.0</v>
      </c>
      <c r="C7" s="229" t="s">
        <v>451</v>
      </c>
      <c r="D7" s="229" t="s">
        <v>457</v>
      </c>
      <c r="E7" s="229" t="s">
        <v>476</v>
      </c>
      <c r="F7" s="236"/>
      <c r="G7" s="232" t="s">
        <v>455</v>
      </c>
      <c r="H7" s="232"/>
    </row>
    <row r="8">
      <c r="A8" s="229" t="s">
        <v>478</v>
      </c>
      <c r="B8" s="230">
        <v>45753.0</v>
      </c>
      <c r="C8" s="229" t="s">
        <v>451</v>
      </c>
      <c r="D8" s="229" t="s">
        <v>452</v>
      </c>
      <c r="E8" s="229" t="s">
        <v>479</v>
      </c>
      <c r="F8" s="236"/>
      <c r="G8" s="232" t="s">
        <v>455</v>
      </c>
      <c r="H8" s="232"/>
    </row>
    <row r="9">
      <c r="A9" s="232" t="s">
        <v>480</v>
      </c>
      <c r="B9" s="230">
        <v>45753.0</v>
      </c>
      <c r="C9" s="229" t="s">
        <v>451</v>
      </c>
      <c r="D9" s="229" t="s">
        <v>457</v>
      </c>
      <c r="E9" s="232" t="s">
        <v>481</v>
      </c>
      <c r="F9" s="234" t="s">
        <v>482</v>
      </c>
      <c r="G9" s="232" t="s">
        <v>463</v>
      </c>
      <c r="H9" s="232"/>
    </row>
    <row r="10">
      <c r="A10" s="229" t="s">
        <v>483</v>
      </c>
      <c r="B10" s="237">
        <v>45761.0</v>
      </c>
      <c r="C10" s="229" t="s">
        <v>451</v>
      </c>
      <c r="D10" s="229" t="s">
        <v>457</v>
      </c>
      <c r="E10" s="229" t="s">
        <v>484</v>
      </c>
      <c r="F10" s="234" t="s">
        <v>485</v>
      </c>
      <c r="G10" s="232" t="s">
        <v>463</v>
      </c>
      <c r="H10" s="232"/>
    </row>
    <row r="11">
      <c r="A11" s="229" t="s">
        <v>487</v>
      </c>
      <c r="B11" s="237">
        <v>45761.0</v>
      </c>
      <c r="C11" s="229" t="s">
        <v>451</v>
      </c>
      <c r="D11" s="229" t="s">
        <v>457</v>
      </c>
      <c r="E11" s="229" t="s">
        <v>490</v>
      </c>
      <c r="F11" s="234" t="s">
        <v>492</v>
      </c>
      <c r="G11" s="232" t="s">
        <v>463</v>
      </c>
      <c r="H11" s="232"/>
    </row>
    <row r="12">
      <c r="A12" s="229" t="s">
        <v>494</v>
      </c>
      <c r="B12" s="230">
        <v>45790.0</v>
      </c>
      <c r="C12" s="229" t="s">
        <v>451</v>
      </c>
      <c r="D12" s="229" t="s">
        <v>495</v>
      </c>
      <c r="E12" s="229" t="s">
        <v>496</v>
      </c>
      <c r="F12" s="234" t="s">
        <v>497</v>
      </c>
      <c r="G12" s="232" t="s">
        <v>463</v>
      </c>
      <c r="H12" s="232"/>
    </row>
    <row r="13">
      <c r="A13" s="232" t="s">
        <v>498</v>
      </c>
      <c r="B13" s="238">
        <v>45799.0</v>
      </c>
      <c r="C13" s="229" t="s">
        <v>451</v>
      </c>
      <c r="D13" s="229" t="s">
        <v>495</v>
      </c>
      <c r="E13" s="232" t="s">
        <v>499</v>
      </c>
      <c r="F13" s="240" t="s">
        <v>500</v>
      </c>
      <c r="G13" s="232" t="s">
        <v>455</v>
      </c>
      <c r="H13" s="232"/>
    </row>
    <row r="14">
      <c r="A14" s="232" t="s">
        <v>502</v>
      </c>
      <c r="B14" s="238">
        <v>45800.0</v>
      </c>
      <c r="C14" s="229" t="s">
        <v>451</v>
      </c>
      <c r="D14" s="229" t="s">
        <v>452</v>
      </c>
      <c r="E14" s="232" t="s">
        <v>503</v>
      </c>
      <c r="F14" s="240" t="s">
        <v>502</v>
      </c>
      <c r="G14" s="232" t="s">
        <v>455</v>
      </c>
      <c r="H14" s="232"/>
    </row>
    <row r="15">
      <c r="A15" s="232" t="s">
        <v>504</v>
      </c>
      <c r="B15" s="238">
        <v>45799.0</v>
      </c>
      <c r="C15" s="229" t="s">
        <v>455</v>
      </c>
      <c r="D15" s="229" t="s">
        <v>452</v>
      </c>
      <c r="E15" s="243" t="s">
        <v>505</v>
      </c>
      <c r="F15" s="244"/>
      <c r="G15" s="232" t="s">
        <v>455</v>
      </c>
      <c r="H15" s="232"/>
    </row>
    <row r="16">
      <c r="A16" s="232" t="s">
        <v>506</v>
      </c>
      <c r="B16" s="238">
        <v>45799.0</v>
      </c>
      <c r="C16" s="229" t="s">
        <v>455</v>
      </c>
      <c r="D16" s="229" t="s">
        <v>452</v>
      </c>
      <c r="E16" s="243" t="s">
        <v>505</v>
      </c>
      <c r="F16" s="244"/>
      <c r="G16" s="232" t="s">
        <v>455</v>
      </c>
      <c r="H16" s="232"/>
    </row>
    <row r="17">
      <c r="A17" s="232" t="s">
        <v>507</v>
      </c>
      <c r="B17" s="238">
        <v>45799.0</v>
      </c>
      <c r="C17" s="229" t="s">
        <v>455</v>
      </c>
      <c r="D17" s="229" t="s">
        <v>452</v>
      </c>
      <c r="E17" s="243" t="s">
        <v>505</v>
      </c>
      <c r="F17" s="244"/>
      <c r="G17" s="232" t="s">
        <v>455</v>
      </c>
      <c r="H17" s="232"/>
    </row>
    <row r="18">
      <c r="A18" s="232" t="s">
        <v>509</v>
      </c>
      <c r="B18" s="238">
        <v>45799.0</v>
      </c>
      <c r="C18" s="229" t="s">
        <v>455</v>
      </c>
      <c r="D18" s="229" t="s">
        <v>452</v>
      </c>
      <c r="E18" s="243" t="s">
        <v>505</v>
      </c>
      <c r="F18" s="244"/>
      <c r="G18" s="232" t="s">
        <v>455</v>
      </c>
      <c r="H18" s="232"/>
    </row>
    <row r="19">
      <c r="A19" s="232" t="s">
        <v>512</v>
      </c>
      <c r="B19" s="238">
        <v>45799.0</v>
      </c>
      <c r="C19" s="229" t="s">
        <v>455</v>
      </c>
      <c r="D19" s="229" t="s">
        <v>452</v>
      </c>
      <c r="E19" s="243" t="s">
        <v>505</v>
      </c>
      <c r="F19" s="244"/>
      <c r="G19" s="232" t="s">
        <v>455</v>
      </c>
      <c r="H19" s="232"/>
    </row>
    <row r="20">
      <c r="A20" s="232" t="s">
        <v>513</v>
      </c>
      <c r="B20" s="238">
        <v>45799.0</v>
      </c>
      <c r="C20" s="229" t="s">
        <v>455</v>
      </c>
      <c r="D20" s="229" t="s">
        <v>452</v>
      </c>
      <c r="E20" s="243" t="s">
        <v>505</v>
      </c>
      <c r="F20" s="244"/>
      <c r="G20" s="232" t="s">
        <v>455</v>
      </c>
      <c r="H20" s="232"/>
    </row>
    <row r="21">
      <c r="A21" s="232" t="s">
        <v>517</v>
      </c>
      <c r="B21" s="238">
        <v>45808.0</v>
      </c>
      <c r="C21" s="229" t="s">
        <v>451</v>
      </c>
      <c r="D21" s="229" t="s">
        <v>452</v>
      </c>
      <c r="E21" s="232" t="s">
        <v>519</v>
      </c>
      <c r="F21" s="240" t="s">
        <v>520</v>
      </c>
      <c r="G21" s="232" t="s">
        <v>455</v>
      </c>
      <c r="H21" s="232"/>
    </row>
    <row r="22">
      <c r="A22" s="232" t="s">
        <v>521</v>
      </c>
      <c r="B22" s="238">
        <v>45817.0</v>
      </c>
      <c r="C22" s="229" t="s">
        <v>451</v>
      </c>
      <c r="D22" s="229" t="s">
        <v>457</v>
      </c>
      <c r="E22" s="232" t="s">
        <v>522</v>
      </c>
      <c r="F22" s="244"/>
      <c r="G22" s="232" t="s">
        <v>455</v>
      </c>
      <c r="H22" s="232"/>
    </row>
    <row r="23">
      <c r="A23" s="232" t="s">
        <v>523</v>
      </c>
      <c r="B23" s="238">
        <v>45809.0</v>
      </c>
      <c r="C23" s="229" t="s">
        <v>451</v>
      </c>
      <c r="D23" s="229" t="s">
        <v>452</v>
      </c>
      <c r="E23" s="232" t="s">
        <v>519</v>
      </c>
      <c r="F23" s="240" t="s">
        <v>524</v>
      </c>
      <c r="G23" s="232" t="s">
        <v>455</v>
      </c>
      <c r="H23" s="232"/>
    </row>
    <row r="24">
      <c r="A24" s="232" t="s">
        <v>526</v>
      </c>
      <c r="B24" s="238">
        <v>45811.0</v>
      </c>
      <c r="C24" s="229" t="s">
        <v>455</v>
      </c>
      <c r="D24" s="229" t="s">
        <v>452</v>
      </c>
      <c r="E24" s="243" t="s">
        <v>527</v>
      </c>
      <c r="F24" s="244"/>
      <c r="G24" s="232" t="s">
        <v>455</v>
      </c>
      <c r="H24" s="232"/>
    </row>
    <row r="25">
      <c r="A25" s="232" t="s">
        <v>528</v>
      </c>
      <c r="B25" s="238">
        <v>45811.0</v>
      </c>
      <c r="C25" s="229" t="s">
        <v>451</v>
      </c>
      <c r="D25" s="229" t="s">
        <v>452</v>
      </c>
      <c r="E25" s="243" t="s">
        <v>527</v>
      </c>
      <c r="F25" s="244"/>
      <c r="G25" s="232" t="s">
        <v>455</v>
      </c>
      <c r="H25" s="232"/>
    </row>
    <row r="26">
      <c r="A26" s="232" t="s">
        <v>529</v>
      </c>
      <c r="B26" s="238">
        <v>45816.0</v>
      </c>
      <c r="C26" s="229" t="s">
        <v>451</v>
      </c>
      <c r="D26" s="229" t="s">
        <v>457</v>
      </c>
      <c r="E26" s="243" t="s">
        <v>530</v>
      </c>
      <c r="F26" s="244"/>
      <c r="G26" s="232" t="s">
        <v>455</v>
      </c>
      <c r="H26" s="232"/>
    </row>
    <row r="27">
      <c r="A27" s="232" t="s">
        <v>531</v>
      </c>
      <c r="B27" s="238">
        <v>45814.0</v>
      </c>
      <c r="C27" s="229" t="s">
        <v>455</v>
      </c>
      <c r="D27" s="229" t="s">
        <v>452</v>
      </c>
      <c r="E27" s="243" t="s">
        <v>532</v>
      </c>
      <c r="F27" s="244"/>
      <c r="G27" s="232" t="s">
        <v>455</v>
      </c>
      <c r="H27" s="232"/>
    </row>
    <row r="28">
      <c r="A28" s="232" t="s">
        <v>533</v>
      </c>
      <c r="B28" s="238">
        <v>45821.0</v>
      </c>
      <c r="C28" s="229" t="s">
        <v>455</v>
      </c>
      <c r="D28" s="229" t="s">
        <v>452</v>
      </c>
      <c r="E28" s="243" t="s">
        <v>534</v>
      </c>
      <c r="F28" s="244"/>
      <c r="G28" s="232" t="s">
        <v>455</v>
      </c>
      <c r="H28" s="232"/>
    </row>
    <row r="29">
      <c r="A29" s="232" t="s">
        <v>535</v>
      </c>
      <c r="B29" s="238">
        <v>45824.0</v>
      </c>
      <c r="C29" s="229" t="s">
        <v>455</v>
      </c>
      <c r="D29" s="229" t="s">
        <v>452</v>
      </c>
      <c r="E29" s="243" t="s">
        <v>536</v>
      </c>
      <c r="F29" s="244"/>
      <c r="G29" s="232" t="s">
        <v>455</v>
      </c>
      <c r="H29" s="232"/>
    </row>
    <row r="30">
      <c r="A30" s="232" t="s">
        <v>537</v>
      </c>
      <c r="B30" s="238">
        <v>45824.0</v>
      </c>
      <c r="C30" s="229" t="s">
        <v>451</v>
      </c>
      <c r="D30" s="229" t="s">
        <v>452</v>
      </c>
      <c r="E30" s="243" t="s">
        <v>536</v>
      </c>
      <c r="F30" s="244"/>
      <c r="G30" s="232" t="s">
        <v>455</v>
      </c>
      <c r="H30" s="232"/>
    </row>
    <row r="31">
      <c r="A31" s="245" t="s">
        <v>538</v>
      </c>
      <c r="B31" s="238">
        <v>45828.0</v>
      </c>
      <c r="C31" s="229" t="s">
        <v>455</v>
      </c>
      <c r="D31" s="229" t="s">
        <v>457</v>
      </c>
      <c r="E31" s="243" t="s">
        <v>539</v>
      </c>
      <c r="F31" s="244"/>
      <c r="G31" s="232" t="s">
        <v>455</v>
      </c>
      <c r="H31" s="232"/>
    </row>
    <row r="32">
      <c r="A32" s="232" t="s">
        <v>540</v>
      </c>
      <c r="B32" s="238">
        <v>45828.0</v>
      </c>
      <c r="C32" s="229" t="s">
        <v>455</v>
      </c>
      <c r="D32" s="229" t="s">
        <v>457</v>
      </c>
      <c r="E32" s="243" t="s">
        <v>541</v>
      </c>
      <c r="F32" s="244"/>
      <c r="G32" s="232" t="s">
        <v>455</v>
      </c>
      <c r="H32" s="232"/>
    </row>
  </sheetData>
  <dataValidations>
    <dataValidation type="list" allowBlank="1" sqref="G2:G32">
      <formula1>"PENDING,RELEASED"</formula1>
    </dataValidation>
    <dataValidation type="custom" allowBlank="1" showDropDown="1" sqref="B2:B32">
      <formula1>OR(NOT(ISERROR(DATEVALUE(B2))), AND(ISNUMBER(B2), LEFT(CELL("format", B2))="D"))</formula1>
    </dataValidation>
    <dataValidation type="list" allowBlank="1" showDropDown="1" showErrorMessage="1" sqref="D2:D32">
      <formula1>"6 months,1 year,1 year"</formula1>
    </dataValidation>
    <dataValidation type="list" allowBlank="1" sqref="C2:C32">
      <formula1>"LIVE,PENDING"</formula1>
    </dataValidation>
  </dataValidations>
  <hyperlinks>
    <hyperlink r:id="rId1" ref="F2"/>
    <hyperlink r:id="rId2" ref="F3"/>
    <hyperlink r:id="rId3" ref="F4"/>
    <hyperlink r:id="rId4" ref="F6"/>
    <hyperlink r:id="rId5" ref="F9"/>
    <hyperlink r:id="rId6" ref="F10"/>
    <hyperlink r:id="rId7" ref="F11"/>
    <hyperlink r:id="rId8" ref="F12"/>
    <hyperlink r:id="rId9" ref="F13"/>
    <hyperlink r:id="rId10" ref="F14"/>
    <hyperlink r:id="rId11" ref="F21"/>
    <hyperlink r:id="rId12" ref="F23"/>
  </hyperlinks>
  <drawing r:id="rId13"/>
  <tableParts count="1">
    <tablePart r:id="rId1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2025-04-02T08:22:49Z</dcterms:created>
</cp:coreProperties>
</file>